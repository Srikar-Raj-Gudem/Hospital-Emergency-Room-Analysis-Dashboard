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esktop\Data Analytics\Excel Projects\"/>
    </mc:Choice>
  </mc:AlternateContent>
  <xr:revisionPtr revIDLastSave="0" documentId="13_ncr:1_{AEA3E2CF-EB82-4539-9069-A275788D6F13}" xr6:coauthVersionLast="47" xr6:coauthVersionMax="47" xr10:uidLastSave="{00000000-0000-0000-0000-000000000000}"/>
  <bookViews>
    <workbookView xWindow="-110" yWindow="-110" windowWidth="19420" windowHeight="11020" xr2:uid="{E86DF497-A1F5-4AF7-B480-6E553A125894}"/>
  </bookViews>
  <sheets>
    <sheet name="Pivot Report" sheetId="1" r:id="rId1"/>
    <sheet name="DashBoard" sheetId="2" r:id="rId2"/>
    <sheet name="Daily Trend" sheetId="3" r:id="rId3"/>
    <sheet name="Avg Daily Trend" sheetId="4" r:id="rId4"/>
    <sheet name="Rating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0998485-c9ed-466a-acaa-e389de6789d4" name="Hospital Emergency Room Data" connection="Query - Hospital Emergency Room Data"/>
          <x15:modelTable id="Calendar_Table_a8685b98-f2f3-49c5-9490-23c4f8cd924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7" i="1" l="1"/>
  <c r="L17" i="1"/>
  <c r="M17" i="1"/>
  <c r="L18" i="1"/>
  <c r="M18" i="1"/>
  <c r="K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64A9D0-A68C-49A7-B4EB-0DE302663A9A}" name="Query - Calendar_Table" description="Connection to the 'Calendar_Table' query in the workbook." type="100" refreshedVersion="8" minRefreshableVersion="5">
    <extLst>
      <ext xmlns:x15="http://schemas.microsoft.com/office/spreadsheetml/2010/11/main" uri="{DE250136-89BD-433C-8126-D09CA5730AF9}">
        <x15:connection id="0b879a76-52c9-457a-aabd-987e12b980a7"/>
      </ext>
    </extLst>
  </connection>
  <connection id="2" xr16:uid="{406D2E2A-E383-40F1-A9C1-2AF8F4B67D0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18cd063-5250-4eb1-b2de-fc0ed63f42a1"/>
      </ext>
    </extLst>
  </connection>
  <connection id="3" xr16:uid="{97A1926E-219F-476D-91CD-2D2A8D28F03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<sst xmlns="http://schemas.openxmlformats.org/spreadsheetml/2006/main" count="150" uniqueCount="76">
  <si>
    <t>Total no. of patients</t>
  </si>
  <si>
    <t>Average of Patient Waittime</t>
  </si>
  <si>
    <t>Average of Patient Satisfaction Score</t>
  </si>
  <si>
    <t>Row Labels</t>
  </si>
  <si>
    <t>Grand Total</t>
  </si>
  <si>
    <t>2023</t>
  </si>
  <si>
    <t>daily trend of no. of patients</t>
  </si>
  <si>
    <t>daily trend of avg wait time</t>
  </si>
  <si>
    <t>daily trend of rating</t>
  </si>
  <si>
    <t>Admitted</t>
  </si>
  <si>
    <t>Not Admitted</t>
  </si>
  <si>
    <t>Count of Patient Admission Flag</t>
  </si>
  <si>
    <t>% Status</t>
  </si>
  <si>
    <t>Admission Status</t>
  </si>
  <si>
    <t>% of Total</t>
  </si>
  <si>
    <t>Status in %</t>
  </si>
  <si>
    <t>Patients</t>
  </si>
  <si>
    <t>0-9</t>
  </si>
  <si>
    <t>10-19</t>
  </si>
  <si>
    <t>20-29</t>
  </si>
  <si>
    <t>30-39</t>
  </si>
  <si>
    <t>40-49</t>
  </si>
  <si>
    <t>50-59</t>
  </si>
  <si>
    <t>60-69</t>
  </si>
  <si>
    <t>70-79</t>
  </si>
  <si>
    <t>Cardiology</t>
  </si>
  <si>
    <t>Gastroenterology</t>
  </si>
  <si>
    <t>General Practice</t>
  </si>
  <si>
    <t>Neurology</t>
  </si>
  <si>
    <t>None</t>
  </si>
  <si>
    <t>Orthopedics</t>
  </si>
  <si>
    <t>Physiotherapy</t>
  </si>
  <si>
    <t>Renal</t>
  </si>
  <si>
    <t>Delay</t>
  </si>
  <si>
    <t>On Time</t>
  </si>
  <si>
    <t>Female</t>
  </si>
  <si>
    <t>Male</t>
  </si>
  <si>
    <t>Count of Patient Gender</t>
  </si>
  <si>
    <t>Count of Patient Attend Status</t>
  </si>
  <si>
    <t>Count of Age_Group</t>
  </si>
  <si>
    <t>Count of Department Referral</t>
  </si>
  <si>
    <t>age group wise analysis</t>
  </si>
  <si>
    <t>department wise analysis</t>
  </si>
  <si>
    <t>patient attend status</t>
  </si>
  <si>
    <t>gender wise analysis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</si>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</sst>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2" borderId="0" xfId="0" applyFill="1"/>
    <xf numFmtId="2"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0" fontId="0" fillId="3" borderId="0" xfId="0" applyNumberFormat="1" applyFill="1"/>
    <xf numFmtId="10" fontId="1" fillId="3" borderId="0" xfId="0" applyNumberFormat="1" applyFont="1" applyFill="1" applyAlignment="1">
      <alignment horizontal="center" vertical="center"/>
    </xf>
    <xf numFmtId="10" fontId="2" fillId="3" borderId="0" xfId="0" applyNumberFormat="1" applyFont="1" applyFill="1" applyAlignment="1">
      <alignment horizontal="center" vertical="center"/>
    </xf>
    <xf numFmtId="0" fontId="2" fillId="3" borderId="0" xfId="0" applyNumberFormat="1" applyFont="1" applyFill="1" applyAlignment="1">
      <alignment horizontal="center" vertical="center"/>
    </xf>
  </cellXfs>
  <cellStyles count="1">
    <cellStyle name="Normal" xfId="0" builtinId="0"/>
  </cellStyles>
  <dxfs count="10">
    <dxf>
      <numFmt numFmtId="2" formatCode="0.00"/>
    </dxf>
    <dxf>
      <numFmt numFmtId="2" formatCode="0.00"/>
    </dxf>
    <dxf>
      <numFmt numFmtId="2" formatCode="0.00"/>
    </dxf>
    <dxf>
      <numFmt numFmtId="14" formatCode="0.00%"/>
    </dxf>
    <dxf>
      <numFmt numFmtId="14" formatCode="0.00%"/>
    </dxf>
    <dxf>
      <numFmt numFmtId="2" formatCode="0.00"/>
    </dxf>
    <dxf>
      <font>
        <b/>
        <color theme="1"/>
      </font>
      <border>
        <bottom style="thin">
          <color theme="6"/>
        </bottom>
        <vertical/>
        <horizontal/>
      </border>
    </dxf>
    <dxf>
      <font>
        <sz val="6"/>
        <color theme="1"/>
      </font>
      <fill>
        <patternFill>
          <bgColor theme="0" tint="-4.9989318521683403E-2"/>
        </patternFill>
      </fill>
      <border diagonalUp="0" diagonalDown="0">
        <left/>
        <right/>
        <top/>
        <bottom/>
        <vertical/>
        <horizontal/>
      </border>
    </dxf>
    <dxf>
      <font>
        <b/>
        <color theme="1"/>
      </font>
      <border>
        <bottom style="thin">
          <color theme="6"/>
        </bottom>
        <vertical/>
        <horizontal/>
      </border>
    </dxf>
    <dxf>
      <font>
        <sz val="8.5"/>
        <color theme="1"/>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my style" pivot="0" table="0" count="10" xr9:uid="{F27EF582-8752-4A4A-B340-3AF6651E318E}">
      <tableStyleElement type="wholeTable" dxfId="9"/>
      <tableStyleElement type="headerRow" dxfId="8"/>
    </tableStyle>
    <tableStyle name="my style 2" pivot="0" table="0" count="10" xr9:uid="{DD708179-C0FE-4BA6-8755-17889E57B8F4}">
      <tableStyleElement type="wholeTable" dxfId="7"/>
      <tableStyleElement type="headerRow" dxfId="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Report!PivotTable9</c:name>
    <c:fmtId val="6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3C7761FC-03BE-4544-8162-B67E67ABA2BA}"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6CFDE0D9-2B15-4FF4-BC7A-86F319ECAB43}"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
          <c:y val="0.12682941443758144"/>
          <c:w val="1"/>
          <c:h val="0.87317058556241856"/>
        </c:manualLayout>
      </c:layout>
      <c:barChart>
        <c:barDir val="bar"/>
        <c:grouping val="clustered"/>
        <c:varyColors val="0"/>
        <c:ser>
          <c:idx val="0"/>
          <c:order val="0"/>
          <c:tx>
            <c:strRef>
              <c:f>'Pivot Report'!$M$10:$M$11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C-1603-445C-A84E-E8EF0A2FEF26}"/>
              </c:ext>
            </c:extLst>
          </c:dPt>
          <c:dPt>
            <c:idx val="1"/>
            <c:invertIfNegative val="0"/>
            <c:bubble3D val="0"/>
            <c:extLst>
              <c:ext xmlns:c16="http://schemas.microsoft.com/office/drawing/2014/chart" uri="{C3380CC4-5D6E-409C-BE32-E72D297353CC}">
                <c16:uniqueId val="{0000000B-1603-445C-A84E-E8EF0A2FEF26}"/>
              </c:ext>
            </c:extLst>
          </c:dPt>
          <c:dLbls>
            <c:dLbl>
              <c:idx val="0"/>
              <c:tx>
                <c:rich>
                  <a:bodyPr/>
                  <a:lstStyle/>
                  <a:p>
                    <a:fld id="{6CFDE0D9-2B15-4FF4-BC7A-86F319ECAB4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603-445C-A84E-E8EF0A2FEF26}"/>
                </c:ext>
              </c:extLst>
            </c:dLbl>
            <c:dLbl>
              <c:idx val="1"/>
              <c:tx>
                <c:rich>
                  <a:bodyPr/>
                  <a:lstStyle/>
                  <a:p>
                    <a:fld id="{3C7761FC-03BE-4544-8162-B67E67ABA2B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603-445C-A84E-E8EF0A2FEF26}"/>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Report'!$M$10:$M$11</c:f>
              <c:strCache>
                <c:ptCount val="2"/>
                <c:pt idx="0">
                  <c:v>Admitted</c:v>
                </c:pt>
                <c:pt idx="1">
                  <c:v>Not Admitted</c:v>
                </c:pt>
              </c:strCache>
            </c:strRef>
          </c:cat>
          <c:val>
            <c:numRef>
              <c:f>'Pivot Report'!$M$10:$M$11</c:f>
              <c:numCache>
                <c:formatCode>General</c:formatCode>
                <c:ptCount val="2"/>
                <c:pt idx="0">
                  <c:v>229</c:v>
                </c:pt>
                <c:pt idx="1">
                  <c:v>251</c:v>
                </c:pt>
              </c:numCache>
            </c:numRef>
          </c:val>
          <c:extLst>
            <c:ext xmlns:c15="http://schemas.microsoft.com/office/drawing/2012/chart" uri="{02D57815-91ED-43cb-92C2-25804820EDAC}">
              <c15:datalabelsRange>
                <c15:f>'Pivot Report'!$M$10:$M$11</c15:f>
                <c15:dlblRangeCache>
                  <c:ptCount val="2"/>
                  <c:pt idx="0">
                    <c:v>47.71%</c:v>
                  </c:pt>
                  <c:pt idx="1">
                    <c:v>52.29%</c:v>
                  </c:pt>
                </c15:dlblRangeCache>
              </c15:datalabelsRange>
            </c:ext>
            <c:ext xmlns:c16="http://schemas.microsoft.com/office/drawing/2014/chart" uri="{C3380CC4-5D6E-409C-BE32-E72D297353CC}">
              <c16:uniqueId val="{00000009-1603-445C-A84E-E8EF0A2FEF26}"/>
            </c:ext>
          </c:extLst>
        </c:ser>
        <c:ser>
          <c:idx val="1"/>
          <c:order val="1"/>
          <c:tx>
            <c:strRef>
              <c:f>'Pivot Report'!$M$10:$M$11</c:f>
              <c:strCache>
                <c:ptCount val="1"/>
                <c:pt idx="0">
                  <c:v>% Status</c:v>
                </c:pt>
              </c:strCache>
            </c:strRef>
          </c:tx>
          <c:spPr>
            <a:solidFill>
              <a:schemeClr val="accent2"/>
            </a:solidFill>
            <a:ln>
              <a:noFill/>
            </a:ln>
            <a:effectLst/>
          </c:spPr>
          <c:invertIfNegative val="0"/>
          <c:cat>
            <c:strRef>
              <c:f>'Pivot Report'!$M$10:$M$11</c:f>
              <c:strCache>
                <c:ptCount val="2"/>
                <c:pt idx="0">
                  <c:v>Admitted</c:v>
                </c:pt>
                <c:pt idx="1">
                  <c:v>Not Admitted</c:v>
                </c:pt>
              </c:strCache>
            </c:strRef>
          </c:cat>
          <c:val>
            <c:numRef>
              <c:f>'Pivot Report'!$M$10:$M$11</c:f>
              <c:numCache>
                <c:formatCode>0.00%</c:formatCode>
                <c:ptCount val="2"/>
                <c:pt idx="0">
                  <c:v>0.47708333333333336</c:v>
                </c:pt>
                <c:pt idx="1">
                  <c:v>0.5229166666666667</c:v>
                </c:pt>
              </c:numCache>
            </c:numRef>
          </c:val>
          <c:extLst>
            <c:ext xmlns:c16="http://schemas.microsoft.com/office/drawing/2014/chart" uri="{C3380CC4-5D6E-409C-BE32-E72D297353CC}">
              <c16:uniqueId val="{0000000A-1603-445C-A84E-E8EF0A2FEF26}"/>
            </c:ext>
          </c:extLst>
        </c:ser>
        <c:dLbls>
          <c:showLegendKey val="0"/>
          <c:showVal val="0"/>
          <c:showCatName val="0"/>
          <c:showSerName val="0"/>
          <c:showPercent val="0"/>
          <c:showBubbleSize val="0"/>
        </c:dLbls>
        <c:gapWidth val="0"/>
        <c:axId val="1230555088"/>
        <c:axId val="1230547408"/>
      </c:barChart>
      <c:catAx>
        <c:axId val="1230555088"/>
        <c:scaling>
          <c:orientation val="minMax"/>
        </c:scaling>
        <c:delete val="1"/>
        <c:axPos val="l"/>
        <c:numFmt formatCode="General" sourceLinked="1"/>
        <c:majorTickMark val="out"/>
        <c:minorTickMark val="none"/>
        <c:tickLblPos val="nextTo"/>
        <c:crossAx val="1230547408"/>
        <c:crosses val="autoZero"/>
        <c:auto val="1"/>
        <c:lblAlgn val="ctr"/>
        <c:lblOffset val="100"/>
        <c:noMultiLvlLbl val="0"/>
      </c:catAx>
      <c:valAx>
        <c:axId val="1230547408"/>
        <c:scaling>
          <c:orientation val="minMax"/>
        </c:scaling>
        <c:delete val="1"/>
        <c:axPos val="b"/>
        <c:numFmt formatCode="General" sourceLinked="1"/>
        <c:majorTickMark val="out"/>
        <c:minorTickMark val="none"/>
        <c:tickLblPos val="nextTo"/>
        <c:crossAx val="123055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205323050168234E-2"/>
          <c:w val="1"/>
          <c:h val="0.98079467694983158"/>
        </c:manualLayout>
      </c:layout>
      <c:areaChart>
        <c:grouping val="standard"/>
        <c:varyColors val="0"/>
        <c:ser>
          <c:idx val="0"/>
          <c:order val="0"/>
          <c:tx>
            <c:strRef>
              <c:f>'Pivot Report'!$B$9</c:f>
              <c:strCache>
                <c:ptCount val="1"/>
                <c:pt idx="0">
                  <c:v>Total</c:v>
                </c:pt>
              </c:strCache>
            </c:strRef>
          </c:tx>
          <c:spPr>
            <a:solidFill>
              <a:schemeClr val="accent1"/>
            </a:solidFill>
            <a:ln w="25400">
              <a:noFill/>
            </a:ln>
            <a:effectLst/>
          </c:spPr>
          <c:cat>
            <c:strRef>
              <c:f>'Pivot Report'!$A$10:$A$41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Report'!$B$10:$B$41</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3-6BE9-4DC9-A698-E0CEF8167286}"/>
            </c:ext>
          </c:extLst>
        </c:ser>
        <c:dLbls>
          <c:showLegendKey val="0"/>
          <c:showVal val="0"/>
          <c:showCatName val="0"/>
          <c:showSerName val="0"/>
          <c:showPercent val="0"/>
          <c:showBubbleSize val="0"/>
        </c:dLbls>
        <c:axId val="927154112"/>
        <c:axId val="927138752"/>
      </c:areaChart>
      <c:catAx>
        <c:axId val="927154112"/>
        <c:scaling>
          <c:orientation val="minMax"/>
        </c:scaling>
        <c:delete val="1"/>
        <c:axPos val="b"/>
        <c:numFmt formatCode="General" sourceLinked="1"/>
        <c:majorTickMark val="out"/>
        <c:minorTickMark val="none"/>
        <c:tickLblPos val="nextTo"/>
        <c:crossAx val="927138752"/>
        <c:crosses val="autoZero"/>
        <c:auto val="1"/>
        <c:lblAlgn val="ctr"/>
        <c:lblOffset val="100"/>
        <c:noMultiLvlLbl val="0"/>
      </c:catAx>
      <c:valAx>
        <c:axId val="927138752"/>
        <c:scaling>
          <c:orientation val="minMax"/>
        </c:scaling>
        <c:delete val="1"/>
        <c:axPos val="l"/>
        <c:numFmt formatCode="General" sourceLinked="1"/>
        <c:majorTickMark val="none"/>
        <c:minorTickMark val="none"/>
        <c:tickLblPos val="nextTo"/>
        <c:crossAx val="9271541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Report!PivotTable6</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468926553672316"/>
          <c:w val="1"/>
          <c:h val="0.75141242937853103"/>
        </c:manualLayout>
      </c:layout>
      <c:areaChart>
        <c:grouping val="standard"/>
        <c:varyColors val="0"/>
        <c:ser>
          <c:idx val="0"/>
          <c:order val="0"/>
          <c:tx>
            <c:strRef>
              <c:f>'Pivot Report'!$F$9</c:f>
              <c:strCache>
                <c:ptCount val="1"/>
                <c:pt idx="0">
                  <c:v>Total</c:v>
                </c:pt>
              </c:strCache>
            </c:strRef>
          </c:tx>
          <c:spPr>
            <a:solidFill>
              <a:schemeClr val="accent1"/>
            </a:solidFill>
            <a:ln w="25400">
              <a:noFill/>
            </a:ln>
            <a:effectLst/>
          </c:spPr>
          <c:cat>
            <c:strRef>
              <c:f>'Pivot Report'!$E$10:$E$41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Report'!$F$10:$F$41</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3-163F-4B38-BD5F-FD560BE41723}"/>
            </c:ext>
          </c:extLst>
        </c:ser>
        <c:dLbls>
          <c:showLegendKey val="0"/>
          <c:showVal val="0"/>
          <c:showCatName val="0"/>
          <c:showSerName val="0"/>
          <c:showPercent val="0"/>
          <c:showBubbleSize val="0"/>
        </c:dLbls>
        <c:axId val="1765551360"/>
        <c:axId val="1765524960"/>
      </c:areaChart>
      <c:catAx>
        <c:axId val="1765551360"/>
        <c:scaling>
          <c:orientation val="minMax"/>
        </c:scaling>
        <c:delete val="1"/>
        <c:axPos val="b"/>
        <c:numFmt formatCode="General" sourceLinked="1"/>
        <c:majorTickMark val="out"/>
        <c:minorTickMark val="none"/>
        <c:tickLblPos val="nextTo"/>
        <c:crossAx val="1765524960"/>
        <c:crosses val="autoZero"/>
        <c:auto val="1"/>
        <c:lblAlgn val="ctr"/>
        <c:lblOffset val="100"/>
        <c:noMultiLvlLbl val="0"/>
      </c:catAx>
      <c:valAx>
        <c:axId val="1765524960"/>
        <c:scaling>
          <c:orientation val="minMax"/>
        </c:scaling>
        <c:delete val="1"/>
        <c:axPos val="l"/>
        <c:numFmt formatCode="0.00" sourceLinked="1"/>
        <c:majorTickMark val="none"/>
        <c:minorTickMark val="none"/>
        <c:tickLblPos val="nextTo"/>
        <c:crossAx val="1765551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Report!PivotTable7</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Report'!$I$9</c:f>
              <c:strCache>
                <c:ptCount val="1"/>
                <c:pt idx="0">
                  <c:v>Total</c:v>
                </c:pt>
              </c:strCache>
            </c:strRef>
          </c:tx>
          <c:spPr>
            <a:solidFill>
              <a:schemeClr val="accent1"/>
            </a:solidFill>
            <a:ln w="25400">
              <a:noFill/>
            </a:ln>
            <a:effectLst/>
          </c:spPr>
          <c:cat>
            <c:strRef>
              <c:f>'Pivot Report'!$H$10:$H$40</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Report'!$I$10:$I$40</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3-09B9-40BC-82D0-884C2095746A}"/>
            </c:ext>
          </c:extLst>
        </c:ser>
        <c:dLbls>
          <c:showLegendKey val="0"/>
          <c:showVal val="0"/>
          <c:showCatName val="0"/>
          <c:showSerName val="0"/>
          <c:showPercent val="0"/>
          <c:showBubbleSize val="0"/>
        </c:dLbls>
        <c:axId val="1811949968"/>
        <c:axId val="1811960528"/>
      </c:areaChart>
      <c:catAx>
        <c:axId val="1811949968"/>
        <c:scaling>
          <c:orientation val="minMax"/>
        </c:scaling>
        <c:delete val="1"/>
        <c:axPos val="b"/>
        <c:numFmt formatCode="General" sourceLinked="1"/>
        <c:majorTickMark val="out"/>
        <c:minorTickMark val="none"/>
        <c:tickLblPos val="nextTo"/>
        <c:crossAx val="1811960528"/>
        <c:crosses val="autoZero"/>
        <c:auto val="1"/>
        <c:lblAlgn val="ctr"/>
        <c:lblOffset val="100"/>
        <c:noMultiLvlLbl val="0"/>
      </c:catAx>
      <c:valAx>
        <c:axId val="1811960528"/>
        <c:scaling>
          <c:orientation val="minMax"/>
        </c:scaling>
        <c:delete val="1"/>
        <c:axPos val="l"/>
        <c:numFmt formatCode="0.00" sourceLinked="1"/>
        <c:majorTickMark val="none"/>
        <c:minorTickMark val="none"/>
        <c:tickLblPos val="nextTo"/>
        <c:crossAx val="1811949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Report!PivotTable8</c:name>
    <c:fmtId val="84"/>
  </c:pivotSource>
  <c:chart>
    <c:title>
      <c:tx>
        <c:rich>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rPr>
              <a:t>No. of Patients by Age Group</a:t>
            </a:r>
          </a:p>
        </c:rich>
      </c:tx>
      <c:layout>
        <c:manualLayout>
          <c:xMode val="edge"/>
          <c:yMode val="edge"/>
          <c:x val="0.35454168339736086"/>
          <c:y val="0.83361052346802544"/>
        </c:manualLayout>
      </c:layout>
      <c:overlay val="0"/>
      <c:spPr>
        <a:noFill/>
        <a:ln>
          <a:noFill/>
        </a:ln>
        <a:effectLst/>
      </c:spPr>
      <c:txPr>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73638286831916333"/>
        </c:manualLayout>
      </c:layout>
      <c:barChart>
        <c:barDir val="col"/>
        <c:grouping val="clustered"/>
        <c:varyColors val="0"/>
        <c:ser>
          <c:idx val="0"/>
          <c:order val="0"/>
          <c:tx>
            <c:strRef>
              <c:f>'Pivot Report'!$Q$21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Report'!$P$22:$P$29</c:f>
              <c:strCache>
                <c:ptCount val="8"/>
                <c:pt idx="0">
                  <c:v>0-9</c:v>
                </c:pt>
                <c:pt idx="1">
                  <c:v>10-19</c:v>
                </c:pt>
                <c:pt idx="2">
                  <c:v>20-29</c:v>
                </c:pt>
                <c:pt idx="3">
                  <c:v>30-39</c:v>
                </c:pt>
                <c:pt idx="4">
                  <c:v>40-49</c:v>
                </c:pt>
                <c:pt idx="5">
                  <c:v>50-59</c:v>
                </c:pt>
                <c:pt idx="6">
                  <c:v>60-69</c:v>
                </c:pt>
                <c:pt idx="7">
                  <c:v>70-79</c:v>
                </c:pt>
              </c:strCache>
            </c:strRef>
          </c:cat>
          <c:val>
            <c:numRef>
              <c:f>'Pivot Report'!$Q$22:$Q$29</c:f>
              <c:numCache>
                <c:formatCode>General</c:formatCode>
                <c:ptCount val="8"/>
                <c:pt idx="0">
                  <c:v>56</c:v>
                </c:pt>
                <c:pt idx="1">
                  <c:v>54</c:v>
                </c:pt>
                <c:pt idx="2">
                  <c:v>52</c:v>
                </c:pt>
                <c:pt idx="3">
                  <c:v>74</c:v>
                </c:pt>
                <c:pt idx="4">
                  <c:v>60</c:v>
                </c:pt>
                <c:pt idx="5">
                  <c:v>61</c:v>
                </c:pt>
                <c:pt idx="6">
                  <c:v>61</c:v>
                </c:pt>
                <c:pt idx="7">
                  <c:v>62</c:v>
                </c:pt>
              </c:numCache>
            </c:numRef>
          </c:val>
          <c:extLst>
            <c:ext xmlns:c16="http://schemas.microsoft.com/office/drawing/2014/chart" uri="{C3380CC4-5D6E-409C-BE32-E72D297353CC}">
              <c16:uniqueId val="{00000005-0C96-4C8C-AF38-D3411DEB5D69}"/>
            </c:ext>
          </c:extLst>
        </c:ser>
        <c:dLbls>
          <c:showLegendKey val="0"/>
          <c:showVal val="0"/>
          <c:showCatName val="0"/>
          <c:showSerName val="0"/>
          <c:showPercent val="0"/>
          <c:showBubbleSize val="0"/>
        </c:dLbls>
        <c:gapWidth val="219"/>
        <c:overlap val="-27"/>
        <c:axId val="1516337904"/>
        <c:axId val="1516350384"/>
      </c:barChart>
      <c:catAx>
        <c:axId val="15163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70" b="0" i="0" u="none" strike="noStrike" kern="1200" baseline="0">
                <a:solidFill>
                  <a:schemeClr val="tx1">
                    <a:lumMod val="65000"/>
                    <a:lumOff val="35000"/>
                  </a:schemeClr>
                </a:solidFill>
                <a:latin typeface="+mn-lt"/>
                <a:ea typeface="+mn-ea"/>
                <a:cs typeface="+mn-cs"/>
              </a:defRPr>
            </a:pPr>
            <a:endParaRPr lang="en-US"/>
          </a:p>
        </c:txPr>
        <c:crossAx val="1516350384"/>
        <c:crosses val="autoZero"/>
        <c:auto val="1"/>
        <c:lblAlgn val="ctr"/>
        <c:lblOffset val="100"/>
        <c:noMultiLvlLbl val="0"/>
      </c:catAx>
      <c:valAx>
        <c:axId val="1516350384"/>
        <c:scaling>
          <c:orientation val="minMax"/>
        </c:scaling>
        <c:delete val="1"/>
        <c:axPos val="l"/>
        <c:numFmt formatCode="General" sourceLinked="1"/>
        <c:majorTickMark val="none"/>
        <c:minorTickMark val="none"/>
        <c:tickLblPos val="nextTo"/>
        <c:crossAx val="151633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Report!PivotTable11</c:name>
    <c:fmtId val="8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No. of Patients</a:t>
            </a:r>
            <a:r>
              <a:rPr lang="en-US" sz="900" b="1" baseline="0"/>
              <a:t> By Department Referal</a:t>
            </a:r>
            <a:endParaRPr lang="en-US" sz="900" b="1"/>
          </a:p>
        </c:rich>
      </c:tx>
      <c:layout>
        <c:manualLayout>
          <c:xMode val="edge"/>
          <c:yMode val="edge"/>
          <c:x val="0.21917119986437308"/>
          <c:y val="0.855255223039995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85573930688388"/>
          <c:y val="4.1701552917246303E-4"/>
          <c:w val="0.83014426069311609"/>
          <c:h val="0.84015093960255327"/>
        </c:manualLayout>
      </c:layout>
      <c:barChart>
        <c:barDir val="bar"/>
        <c:grouping val="clustered"/>
        <c:varyColors val="0"/>
        <c:ser>
          <c:idx val="0"/>
          <c:order val="0"/>
          <c:tx>
            <c:strRef>
              <c:f>'Pivot Report'!$Q$33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Report'!$P$34:$P$41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Report'!$Q$34:$Q$41</c:f>
              <c:numCache>
                <c:formatCode>General</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6-50C9-4B97-87B8-E86E3B602C23}"/>
            </c:ext>
          </c:extLst>
        </c:ser>
        <c:dLbls>
          <c:showLegendKey val="0"/>
          <c:showVal val="0"/>
          <c:showCatName val="0"/>
          <c:showSerName val="0"/>
          <c:showPercent val="0"/>
          <c:showBubbleSize val="0"/>
        </c:dLbls>
        <c:gapWidth val="56"/>
        <c:axId val="1516346544"/>
        <c:axId val="1516332144"/>
      </c:barChart>
      <c:catAx>
        <c:axId val="151634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16332144"/>
        <c:crosses val="autoZero"/>
        <c:auto val="1"/>
        <c:lblAlgn val="ctr"/>
        <c:lblOffset val="100"/>
        <c:noMultiLvlLbl val="0"/>
      </c:catAx>
      <c:valAx>
        <c:axId val="1516332144"/>
        <c:scaling>
          <c:orientation val="minMax"/>
        </c:scaling>
        <c:delete val="1"/>
        <c:axPos val="b"/>
        <c:numFmt formatCode="General" sourceLinked="1"/>
        <c:majorTickMark val="none"/>
        <c:minorTickMark val="none"/>
        <c:tickLblPos val="nextTo"/>
        <c:crossAx val="151634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Report!PivotTable13</c:name>
    <c:fmtId val="106"/>
  </c:pivotSource>
  <c:chart>
    <c:title>
      <c:tx>
        <c:rich>
          <a:bodyPr rot="0" spcFirstLastPara="1" vertOverflow="ellipsis" vert="horz" wrap="square" anchor="b" anchorCtr="1"/>
          <a:lstStyle/>
          <a:p>
            <a:pPr>
              <a:defRPr sz="1400" b="1" i="0" u="none" strike="noStrike" kern="1200" cap="all" spc="50" baseline="0">
                <a:solidFill>
                  <a:schemeClr val="tx1">
                    <a:lumMod val="65000"/>
                    <a:lumOff val="35000"/>
                  </a:schemeClr>
                </a:solidFill>
                <a:latin typeface="+mn-lt"/>
                <a:ea typeface="+mn-ea"/>
                <a:cs typeface="+mn-cs"/>
              </a:defRPr>
            </a:pPr>
            <a:r>
              <a:rPr lang="en-US" sz="750" b="1" i="0" u="none" strike="noStrike" kern="1200" cap="all" spc="50" baseline="0">
                <a:solidFill>
                  <a:sysClr val="windowText" lastClr="000000">
                    <a:lumMod val="65000"/>
                    <a:lumOff val="35000"/>
                  </a:sysClr>
                </a:solidFill>
              </a:rPr>
              <a:t>No. of patients by gender </a:t>
            </a:r>
          </a:p>
        </c:rich>
      </c:tx>
      <c:layout>
        <c:manualLayout>
          <c:xMode val="edge"/>
          <c:yMode val="edge"/>
          <c:x val="0.1294122656453639"/>
          <c:y val="0.88119946904790636"/>
        </c:manualLayout>
      </c:layout>
      <c:overlay val="0"/>
      <c:spPr>
        <a:noFill/>
        <a:ln>
          <a:noFill/>
        </a:ln>
        <a:effectLst/>
      </c:spPr>
      <c:txPr>
        <a:bodyPr rot="0" spcFirstLastPara="1" vertOverflow="ellipsis" vert="horz" wrap="square" anchor="b"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633382654655791"/>
          <c:y val="0.11750833160297423"/>
          <c:w val="0.70720145126934175"/>
          <c:h val="0.74680451894697553"/>
        </c:manualLayout>
      </c:layout>
      <c:doughnutChart>
        <c:varyColors val="1"/>
        <c:ser>
          <c:idx val="0"/>
          <c:order val="0"/>
          <c:tx>
            <c:strRef>
              <c:f>'Pivot Report'!$Q$51</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F3-43B6-8E38-C6211AD40E9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F3-43B6-8E38-C6211AD40E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Report'!$P$52:$P$53</c:f>
              <c:strCache>
                <c:ptCount val="2"/>
                <c:pt idx="0">
                  <c:v>Female</c:v>
                </c:pt>
                <c:pt idx="1">
                  <c:v>Male</c:v>
                </c:pt>
              </c:strCache>
            </c:strRef>
          </c:cat>
          <c:val>
            <c:numRef>
              <c:f>'Pivot Report'!$Q$52:$Q$53</c:f>
              <c:numCache>
                <c:formatCode>General</c:formatCode>
                <c:ptCount val="2"/>
                <c:pt idx="0">
                  <c:v>261</c:v>
                </c:pt>
                <c:pt idx="1">
                  <c:v>219</c:v>
                </c:pt>
              </c:numCache>
            </c:numRef>
          </c:val>
          <c:extLst>
            <c:ext xmlns:c16="http://schemas.microsoft.com/office/drawing/2014/chart" uri="{C3380CC4-5D6E-409C-BE32-E72D297353CC}">
              <c16:uniqueId val="{00000008-7C5F-4C50-BBE4-0D98F1509A62}"/>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8.1362883071561158E-4"/>
          <c:y val="3.279482122295084E-2"/>
          <c:w val="0.96989342673246426"/>
          <c:h val="9.9906164807723102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Report!PivotTable12</c:name>
    <c:fmtId val="10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900"/>
              <a:t>Patients Attend Status</a:t>
            </a:r>
          </a:p>
        </c:rich>
      </c:tx>
      <c:layout>
        <c:manualLayout>
          <c:xMode val="edge"/>
          <c:yMode val="edge"/>
          <c:x val="0.16578696631032305"/>
          <c:y val="0.8725771013307690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72529365169579"/>
          <c:y val="0.11386291531212347"/>
          <c:w val="0.74395393222786077"/>
          <c:h val="0.75270612589709951"/>
        </c:manualLayout>
      </c:layout>
      <c:pieChart>
        <c:varyColors val="1"/>
        <c:ser>
          <c:idx val="0"/>
          <c:order val="0"/>
          <c:tx>
            <c:strRef>
              <c:f>'Pivot Report'!$Q$45</c:f>
              <c:strCache>
                <c:ptCount val="1"/>
                <c:pt idx="0">
                  <c:v>Total</c:v>
                </c:pt>
              </c:strCache>
            </c:strRef>
          </c:tx>
          <c:spPr>
            <a:effectLst/>
          </c:spPr>
          <c:explosion val="2"/>
          <c:dPt>
            <c:idx val="0"/>
            <c:bubble3D val="0"/>
            <c:spPr>
              <a:solidFill>
                <a:schemeClr val="accent1"/>
              </a:solidFill>
              <a:ln>
                <a:noFill/>
              </a:ln>
              <a:effectLst/>
            </c:spPr>
            <c:extLst>
              <c:ext xmlns:c16="http://schemas.microsoft.com/office/drawing/2014/chart" uri="{C3380CC4-5D6E-409C-BE32-E72D297353CC}">
                <c16:uniqueId val="{00000001-3328-4CE0-9FC9-A21247758582}"/>
              </c:ext>
            </c:extLst>
          </c:dPt>
          <c:dPt>
            <c:idx val="1"/>
            <c:bubble3D val="0"/>
            <c:spPr>
              <a:solidFill>
                <a:schemeClr val="accent2"/>
              </a:solidFill>
              <a:ln>
                <a:noFill/>
              </a:ln>
              <a:effectLst/>
            </c:spPr>
            <c:extLst>
              <c:ext xmlns:c16="http://schemas.microsoft.com/office/drawing/2014/chart" uri="{C3380CC4-5D6E-409C-BE32-E72D297353CC}">
                <c16:uniqueId val="{00000003-3328-4CE0-9FC9-A212477585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'Pivot Report'!$P$46:$P$47</c:f>
              <c:strCache>
                <c:ptCount val="2"/>
                <c:pt idx="0">
                  <c:v>Delay</c:v>
                </c:pt>
                <c:pt idx="1">
                  <c:v>On Time</c:v>
                </c:pt>
              </c:strCache>
            </c:strRef>
          </c:cat>
          <c:val>
            <c:numRef>
              <c:f>'Pivot Report'!$Q$46:$Q$47</c:f>
              <c:numCache>
                <c:formatCode>General</c:formatCode>
                <c:ptCount val="2"/>
                <c:pt idx="0">
                  <c:v>267</c:v>
                </c:pt>
                <c:pt idx="1">
                  <c:v>213</c:v>
                </c:pt>
              </c:numCache>
            </c:numRef>
          </c:val>
          <c:extLst>
            <c:ext xmlns:c16="http://schemas.microsoft.com/office/drawing/2014/chart" uri="{C3380CC4-5D6E-409C-BE32-E72D297353CC}">
              <c16:uniqueId val="{00000004-3328-4CE0-9FC9-A21247758582}"/>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1559630570891635"/>
          <c:y val="1.346501322654849E-2"/>
          <c:w val="0.738923942784253"/>
          <c:h val="8.862520916515180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Report!PivotTable4</c:name>
    <c:fmtId val="2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Report'!$A$10:$A$41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Report'!$B$10:$B$41</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F095-4926-BE7E-8711625EF4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27154112"/>
        <c:axId val="927138752"/>
      </c:areaChart>
      <c:catAx>
        <c:axId val="9271541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7138752"/>
        <c:crosses val="autoZero"/>
        <c:auto val="1"/>
        <c:lblAlgn val="ctr"/>
        <c:lblOffset val="100"/>
        <c:noMultiLvlLbl val="0"/>
      </c:catAx>
      <c:valAx>
        <c:axId val="927138752"/>
        <c:scaling>
          <c:orientation val="minMax"/>
        </c:scaling>
        <c:delete val="1"/>
        <c:axPos val="l"/>
        <c:numFmt formatCode="General" sourceLinked="1"/>
        <c:majorTickMark val="out"/>
        <c:minorTickMark val="none"/>
        <c:tickLblPos val="nextTo"/>
        <c:crossAx val="9271541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Report!PivotTable6</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Report'!$E$10:$E$41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Report'!$F$10:$F$41</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9263-480D-B168-B6924A314D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65551360"/>
        <c:axId val="1765524960"/>
      </c:areaChart>
      <c:catAx>
        <c:axId val="1765551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65524960"/>
        <c:crosses val="autoZero"/>
        <c:auto val="1"/>
        <c:lblAlgn val="ctr"/>
        <c:lblOffset val="100"/>
        <c:noMultiLvlLbl val="0"/>
      </c:catAx>
      <c:valAx>
        <c:axId val="1765524960"/>
        <c:scaling>
          <c:orientation val="minMax"/>
        </c:scaling>
        <c:delete val="1"/>
        <c:axPos val="l"/>
        <c:numFmt formatCode="0.00" sourceLinked="1"/>
        <c:majorTickMark val="out"/>
        <c:minorTickMark val="none"/>
        <c:tickLblPos val="nextTo"/>
        <c:crossAx val="1765551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 Emergency Room DashBoard.xlsx]Pivot Report!PivotTable7</c:name>
    <c:fmtId val="5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Report'!$H$10:$H$40</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Report'!$I$10:$I$40</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8943-4306-8760-7C1523DA9A9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11949968"/>
        <c:axId val="1811960528"/>
      </c:areaChart>
      <c:catAx>
        <c:axId val="18119499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1960528"/>
        <c:crosses val="autoZero"/>
        <c:auto val="1"/>
        <c:lblAlgn val="ctr"/>
        <c:lblOffset val="100"/>
        <c:noMultiLvlLbl val="0"/>
      </c:catAx>
      <c:valAx>
        <c:axId val="1811960528"/>
        <c:scaling>
          <c:orientation val="minMax"/>
        </c:scaling>
        <c:delete val="1"/>
        <c:axPos val="l"/>
        <c:numFmt formatCode="0.00" sourceLinked="1"/>
        <c:majorTickMark val="out"/>
        <c:minorTickMark val="none"/>
        <c:tickLblPos val="nextTo"/>
        <c:crossAx val="1811949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Trend'!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Rating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13</xdr:col>
      <xdr:colOff>53732</xdr:colOff>
      <xdr:row>15</xdr:row>
      <xdr:rowOff>107461</xdr:rowOff>
    </xdr:from>
    <xdr:to>
      <xdr:col>13</xdr:col>
      <xdr:colOff>1279769</xdr:colOff>
      <xdr:row>17</xdr:row>
      <xdr:rowOff>146538</xdr:rowOff>
    </xdr:to>
    <xdr:graphicFrame macro="">
      <xdr:nvGraphicFramePr>
        <xdr:cNvPr id="2" name="Chart 1">
          <a:extLst>
            <a:ext uri="{FF2B5EF4-FFF2-40B4-BE49-F238E27FC236}">
              <a16:creationId xmlns:a16="http://schemas.microsoft.com/office/drawing/2014/main" id="{829A58AD-74B8-7493-DBC3-22E171BAB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268654</xdr:colOff>
      <xdr:row>0</xdr:row>
      <xdr:rowOff>43793</xdr:rowOff>
    </xdr:from>
    <xdr:to>
      <xdr:col>13</xdr:col>
      <xdr:colOff>215901</xdr:colOff>
      <xdr:row>3</xdr:row>
      <xdr:rowOff>118679</xdr:rowOff>
    </xdr:to>
    <xdr:sp macro="" textlink="">
      <xdr:nvSpPr>
        <xdr:cNvPr id="8" name="Rectangle: Rounded Corners 7">
          <a:extLst>
            <a:ext uri="{FF2B5EF4-FFF2-40B4-BE49-F238E27FC236}">
              <a16:creationId xmlns:a16="http://schemas.microsoft.com/office/drawing/2014/main" id="{3D08279F-E7E4-F52D-8553-C2CC43F2E615}"/>
            </a:ext>
          </a:extLst>
        </xdr:cNvPr>
        <xdr:cNvSpPr/>
      </xdr:nvSpPr>
      <xdr:spPr>
        <a:xfrm>
          <a:off x="7573344" y="43793"/>
          <a:ext cx="555971" cy="626679"/>
        </a:xfrm>
        <a:prstGeom prst="roundRect">
          <a:avLst>
            <a:gd name="adj" fmla="val 131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0</xdr:col>
      <xdr:colOff>56930</xdr:colOff>
      <xdr:row>0</xdr:row>
      <xdr:rowOff>41771</xdr:rowOff>
    </xdr:from>
    <xdr:to>
      <xdr:col>5</xdr:col>
      <xdr:colOff>498230</xdr:colOff>
      <xdr:row>2</xdr:row>
      <xdr:rowOff>183593</xdr:rowOff>
    </xdr:to>
    <xdr:sp macro="" textlink="">
      <xdr:nvSpPr>
        <xdr:cNvPr id="2" name="Rectangle: Rounded Corners 1">
          <a:extLst>
            <a:ext uri="{FF2B5EF4-FFF2-40B4-BE49-F238E27FC236}">
              <a16:creationId xmlns:a16="http://schemas.microsoft.com/office/drawing/2014/main" id="{CBD3D116-61AC-E3B2-23AF-EEA409EB0738}"/>
            </a:ext>
          </a:extLst>
        </xdr:cNvPr>
        <xdr:cNvSpPr/>
      </xdr:nvSpPr>
      <xdr:spPr>
        <a:xfrm>
          <a:off x="56930" y="41771"/>
          <a:ext cx="3489300" cy="510122"/>
        </a:xfrm>
        <a:prstGeom prst="roundRect">
          <a:avLst>
            <a:gd name="adj" fmla="val 112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lumMod val="95000"/>
                  <a:lumOff val="5000"/>
                </a:schemeClr>
              </a:solidFill>
            </a:rPr>
            <a:t>                 </a:t>
          </a:r>
          <a:r>
            <a:rPr lang="en-IN" sz="1300" b="1">
              <a:solidFill>
                <a:schemeClr val="tx1">
                  <a:lumMod val="95000"/>
                  <a:lumOff val="5000"/>
                </a:schemeClr>
              </a:solidFill>
            </a:rPr>
            <a:t>Hospital</a:t>
          </a:r>
          <a:r>
            <a:rPr lang="en-IN" sz="1300" b="1" baseline="0">
              <a:solidFill>
                <a:schemeClr val="tx1">
                  <a:lumMod val="95000"/>
                  <a:lumOff val="5000"/>
                </a:schemeClr>
              </a:solidFill>
            </a:rPr>
            <a:t> Emergency Room DashBoard</a:t>
          </a:r>
        </a:p>
        <a:p>
          <a:pPr algn="ctr"/>
          <a:r>
            <a:rPr lang="en-IN" sz="1000" b="1" baseline="0">
              <a:solidFill>
                <a:schemeClr val="accent1">
                  <a:lumMod val="50000"/>
                </a:schemeClr>
              </a:solidFill>
            </a:rPr>
            <a:t>Monthly Report</a:t>
          </a:r>
          <a:endParaRPr lang="en-IN" sz="1000" b="1">
            <a:solidFill>
              <a:schemeClr val="accent1">
                <a:lumMod val="50000"/>
              </a:schemeClr>
            </a:solidFill>
          </a:endParaRPr>
        </a:p>
      </xdr:txBody>
    </xdr:sp>
    <xdr:clientData/>
  </xdr:twoCellAnchor>
  <xdr:twoCellAnchor editAs="absolute">
    <xdr:from>
      <xdr:col>13</xdr:col>
      <xdr:colOff>14654</xdr:colOff>
      <xdr:row>0</xdr:row>
      <xdr:rowOff>43793</xdr:rowOff>
    </xdr:from>
    <xdr:to>
      <xdr:col>13</xdr:col>
      <xdr:colOff>571501</xdr:colOff>
      <xdr:row>17</xdr:row>
      <xdr:rowOff>107460</xdr:rowOff>
    </xdr:to>
    <xdr:sp macro="" textlink="">
      <xdr:nvSpPr>
        <xdr:cNvPr id="4" name="Rectangle: Rounded Corners 3">
          <a:extLst>
            <a:ext uri="{FF2B5EF4-FFF2-40B4-BE49-F238E27FC236}">
              <a16:creationId xmlns:a16="http://schemas.microsoft.com/office/drawing/2014/main" id="{FDC28DBD-E257-BF1C-58C9-79ADD7E48A95}"/>
            </a:ext>
          </a:extLst>
        </xdr:cNvPr>
        <xdr:cNvSpPr/>
      </xdr:nvSpPr>
      <xdr:spPr>
        <a:xfrm>
          <a:off x="7928068" y="43793"/>
          <a:ext cx="556847" cy="3190495"/>
        </a:xfrm>
        <a:prstGeom prst="roundRect">
          <a:avLst>
            <a:gd name="adj" fmla="val 131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572774</xdr:colOff>
      <xdr:row>3</xdr:row>
      <xdr:rowOff>142615</xdr:rowOff>
    </xdr:from>
    <xdr:to>
      <xdr:col>12</xdr:col>
      <xdr:colOff>574261</xdr:colOff>
      <xdr:row>10</xdr:row>
      <xdr:rowOff>10092</xdr:rowOff>
    </xdr:to>
    <xdr:sp macro="" textlink="">
      <xdr:nvSpPr>
        <xdr:cNvPr id="5" name="Rectangle: Rounded Corners 4">
          <a:extLst>
            <a:ext uri="{FF2B5EF4-FFF2-40B4-BE49-F238E27FC236}">
              <a16:creationId xmlns:a16="http://schemas.microsoft.com/office/drawing/2014/main" id="{742F11F3-77A4-64B2-D207-FA2680CBBB20}"/>
            </a:ext>
          </a:extLst>
        </xdr:cNvPr>
        <xdr:cNvSpPr/>
      </xdr:nvSpPr>
      <xdr:spPr>
        <a:xfrm>
          <a:off x="3616395" y="694408"/>
          <a:ext cx="4262556" cy="1154994"/>
        </a:xfrm>
        <a:prstGeom prst="roundRect">
          <a:avLst>
            <a:gd name="adj" fmla="val 357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59460</xdr:colOff>
      <xdr:row>3</xdr:row>
      <xdr:rowOff>53073</xdr:rowOff>
    </xdr:from>
    <xdr:to>
      <xdr:col>1</xdr:col>
      <xdr:colOff>578069</xdr:colOff>
      <xdr:row>8</xdr:row>
      <xdr:rowOff>53073</xdr:rowOff>
    </xdr:to>
    <xdr:sp macro="" textlink="">
      <xdr:nvSpPr>
        <xdr:cNvPr id="10" name="Rectangle: Rounded Corners 9">
          <a:extLst>
            <a:ext uri="{FF2B5EF4-FFF2-40B4-BE49-F238E27FC236}">
              <a16:creationId xmlns:a16="http://schemas.microsoft.com/office/drawing/2014/main" id="{433187F3-2FE2-657B-15CD-5479D4D7A4F7}"/>
            </a:ext>
          </a:extLst>
        </xdr:cNvPr>
        <xdr:cNvSpPr/>
      </xdr:nvSpPr>
      <xdr:spPr>
        <a:xfrm>
          <a:off x="59460" y="609919"/>
          <a:ext cx="1129186" cy="928077"/>
        </a:xfrm>
        <a:prstGeom prst="roundRect">
          <a:avLst>
            <a:gd name="adj" fmla="val 43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20383</xdr:colOff>
      <xdr:row>3</xdr:row>
      <xdr:rowOff>53073</xdr:rowOff>
    </xdr:from>
    <xdr:to>
      <xdr:col>3</xdr:col>
      <xdr:colOff>538992</xdr:colOff>
      <xdr:row>8</xdr:row>
      <xdr:rowOff>53073</xdr:rowOff>
    </xdr:to>
    <xdr:sp macro="" textlink="">
      <xdr:nvSpPr>
        <xdr:cNvPr id="30" name="Rectangle: Rounded Corners 29">
          <a:extLst>
            <a:ext uri="{FF2B5EF4-FFF2-40B4-BE49-F238E27FC236}">
              <a16:creationId xmlns:a16="http://schemas.microsoft.com/office/drawing/2014/main" id="{5D935CBC-5F1A-1FDF-DA88-F6ABDB0CDB9D}"/>
            </a:ext>
          </a:extLst>
        </xdr:cNvPr>
        <xdr:cNvSpPr/>
      </xdr:nvSpPr>
      <xdr:spPr>
        <a:xfrm>
          <a:off x="1241537" y="609919"/>
          <a:ext cx="1129186" cy="928077"/>
        </a:xfrm>
        <a:prstGeom prst="roundRect">
          <a:avLst>
            <a:gd name="adj" fmla="val 43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606537</xdr:colOff>
      <xdr:row>3</xdr:row>
      <xdr:rowOff>48188</xdr:rowOff>
    </xdr:from>
    <xdr:to>
      <xdr:col>5</xdr:col>
      <xdr:colOff>514569</xdr:colOff>
      <xdr:row>8</xdr:row>
      <xdr:rowOff>48188</xdr:rowOff>
    </xdr:to>
    <xdr:sp macro="" textlink="">
      <xdr:nvSpPr>
        <xdr:cNvPr id="31" name="Rectangle: Rounded Corners 30">
          <a:extLst>
            <a:ext uri="{FF2B5EF4-FFF2-40B4-BE49-F238E27FC236}">
              <a16:creationId xmlns:a16="http://schemas.microsoft.com/office/drawing/2014/main" id="{14DF30C6-CC01-328B-D1B3-8337DADCAD1A}"/>
            </a:ext>
          </a:extLst>
        </xdr:cNvPr>
        <xdr:cNvSpPr/>
      </xdr:nvSpPr>
      <xdr:spPr>
        <a:xfrm>
          <a:off x="2438268" y="605034"/>
          <a:ext cx="1129186" cy="928077"/>
        </a:xfrm>
        <a:prstGeom prst="roundRect">
          <a:avLst>
            <a:gd name="adj" fmla="val 43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4380</xdr:colOff>
      <xdr:row>8</xdr:row>
      <xdr:rowOff>107780</xdr:rowOff>
    </xdr:from>
    <xdr:to>
      <xdr:col>5</xdr:col>
      <xdr:colOff>534276</xdr:colOff>
      <xdr:row>17</xdr:row>
      <xdr:rowOff>132860</xdr:rowOff>
    </xdr:to>
    <xdr:sp macro="" textlink="">
      <xdr:nvSpPr>
        <xdr:cNvPr id="32" name="Rectangle: Rounded Corners 31">
          <a:extLst>
            <a:ext uri="{FF2B5EF4-FFF2-40B4-BE49-F238E27FC236}">
              <a16:creationId xmlns:a16="http://schemas.microsoft.com/office/drawing/2014/main" id="{E5B4F8C6-17CA-3CCB-12BB-4E3C89D60E1C}"/>
            </a:ext>
          </a:extLst>
        </xdr:cNvPr>
        <xdr:cNvSpPr/>
      </xdr:nvSpPr>
      <xdr:spPr>
        <a:xfrm>
          <a:off x="1830552" y="1579228"/>
          <a:ext cx="1747345" cy="1680460"/>
        </a:xfrm>
        <a:prstGeom prst="roundRect">
          <a:avLst>
            <a:gd name="adj" fmla="val 51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588511</xdr:colOff>
      <xdr:row>10</xdr:row>
      <xdr:rowOff>65690</xdr:rowOff>
    </xdr:from>
    <xdr:to>
      <xdr:col>12</xdr:col>
      <xdr:colOff>578070</xdr:colOff>
      <xdr:row>17</xdr:row>
      <xdr:rowOff>110172</xdr:rowOff>
    </xdr:to>
    <xdr:sp macro="" textlink="">
      <xdr:nvSpPr>
        <xdr:cNvPr id="33" name="Rectangle: Rounded Corners 32">
          <a:extLst>
            <a:ext uri="{FF2B5EF4-FFF2-40B4-BE49-F238E27FC236}">
              <a16:creationId xmlns:a16="http://schemas.microsoft.com/office/drawing/2014/main" id="{42451F93-A23E-4B97-E253-A4DDA698FB40}"/>
            </a:ext>
          </a:extLst>
        </xdr:cNvPr>
        <xdr:cNvSpPr/>
      </xdr:nvSpPr>
      <xdr:spPr>
        <a:xfrm>
          <a:off x="3632132" y="1905000"/>
          <a:ext cx="4250628" cy="1332000"/>
        </a:xfrm>
        <a:prstGeom prst="roundRect">
          <a:avLst>
            <a:gd name="adj" fmla="val 256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53734</xdr:colOff>
      <xdr:row>8</xdr:row>
      <xdr:rowOff>106803</xdr:rowOff>
    </xdr:from>
    <xdr:to>
      <xdr:col>2</xdr:col>
      <xdr:colOff>542192</xdr:colOff>
      <xdr:row>17</xdr:row>
      <xdr:rowOff>131883</xdr:rowOff>
    </xdr:to>
    <xdr:sp macro="" textlink="">
      <xdr:nvSpPr>
        <xdr:cNvPr id="34" name="Rectangle: Rounded Corners 33">
          <a:extLst>
            <a:ext uri="{FF2B5EF4-FFF2-40B4-BE49-F238E27FC236}">
              <a16:creationId xmlns:a16="http://schemas.microsoft.com/office/drawing/2014/main" id="{FA0D6BE7-5B80-286C-F5B4-0FB7C5034537}"/>
            </a:ext>
          </a:extLst>
        </xdr:cNvPr>
        <xdr:cNvSpPr/>
      </xdr:nvSpPr>
      <xdr:spPr>
        <a:xfrm>
          <a:off x="53734" y="1591726"/>
          <a:ext cx="1709612" cy="1695619"/>
        </a:xfrm>
        <a:prstGeom prst="roundRect">
          <a:avLst>
            <a:gd name="adj" fmla="val 51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107460</xdr:colOff>
      <xdr:row>0</xdr:row>
      <xdr:rowOff>4885</xdr:rowOff>
    </xdr:from>
    <xdr:to>
      <xdr:col>1</xdr:col>
      <xdr:colOff>278423</xdr:colOff>
      <xdr:row>3</xdr:row>
      <xdr:rowOff>21919</xdr:rowOff>
    </xdr:to>
    <xdr:pic>
      <xdr:nvPicPr>
        <xdr:cNvPr id="38" name="Picture 37">
          <a:extLst>
            <a:ext uri="{FF2B5EF4-FFF2-40B4-BE49-F238E27FC236}">
              <a16:creationId xmlns:a16="http://schemas.microsoft.com/office/drawing/2014/main" id="{10EA7314-6FD8-E8FB-C6BC-F94E1EBC420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875" t="870" r="-3748" b="3535"/>
        <a:stretch/>
      </xdr:blipFill>
      <xdr:spPr>
        <a:xfrm>
          <a:off x="107460" y="4885"/>
          <a:ext cx="781540" cy="573880"/>
        </a:xfrm>
        <a:prstGeom prst="rect">
          <a:avLst/>
        </a:prstGeom>
      </xdr:spPr>
    </xdr:pic>
    <xdr:clientData/>
  </xdr:twoCellAnchor>
  <xdr:twoCellAnchor editAs="absolute">
    <xdr:from>
      <xdr:col>0</xdr:col>
      <xdr:colOff>58615</xdr:colOff>
      <xdr:row>5</xdr:row>
      <xdr:rowOff>141654</xdr:rowOff>
    </xdr:from>
    <xdr:to>
      <xdr:col>1</xdr:col>
      <xdr:colOff>566615</xdr:colOff>
      <xdr:row>7</xdr:row>
      <xdr:rowOff>29307</xdr:rowOff>
    </xdr:to>
    <xdr:sp macro="" textlink="">
      <xdr:nvSpPr>
        <xdr:cNvPr id="39" name="TextBox 38">
          <a:extLst>
            <a:ext uri="{FF2B5EF4-FFF2-40B4-BE49-F238E27FC236}">
              <a16:creationId xmlns:a16="http://schemas.microsoft.com/office/drawing/2014/main" id="{3EE0CF21-D371-EEF1-4C57-9187A67BA6A0}"/>
            </a:ext>
          </a:extLst>
        </xdr:cNvPr>
        <xdr:cNvSpPr txBox="1"/>
      </xdr:nvSpPr>
      <xdr:spPr>
        <a:xfrm>
          <a:off x="58615" y="1069731"/>
          <a:ext cx="1118577" cy="25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No. of Patients</a:t>
          </a:r>
        </a:p>
      </xdr:txBody>
    </xdr:sp>
    <xdr:clientData/>
  </xdr:twoCellAnchor>
  <xdr:twoCellAnchor editAs="absolute">
    <xdr:from>
      <xdr:col>0</xdr:col>
      <xdr:colOff>53731</xdr:colOff>
      <xdr:row>4</xdr:row>
      <xdr:rowOff>78159</xdr:rowOff>
    </xdr:from>
    <xdr:to>
      <xdr:col>1</xdr:col>
      <xdr:colOff>566615</xdr:colOff>
      <xdr:row>5</xdr:row>
      <xdr:rowOff>112351</xdr:rowOff>
    </xdr:to>
    <xdr:sp macro="" textlink="'Pivot Report'!A5">
      <xdr:nvSpPr>
        <xdr:cNvPr id="44" name="TextBox 43">
          <a:extLst>
            <a:ext uri="{FF2B5EF4-FFF2-40B4-BE49-F238E27FC236}">
              <a16:creationId xmlns:a16="http://schemas.microsoft.com/office/drawing/2014/main" id="{056B1F53-23C6-36F4-DE9E-1E0DFD45DC6E}"/>
            </a:ext>
          </a:extLst>
        </xdr:cNvPr>
        <xdr:cNvSpPr txBox="1"/>
      </xdr:nvSpPr>
      <xdr:spPr>
        <a:xfrm>
          <a:off x="53731" y="814759"/>
          <a:ext cx="1122484" cy="21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FF06A72-2DD3-4194-8CEB-373ED84C1374}" type="TxLink">
            <a:rPr lang="en-US" sz="1400" b="0" i="0" u="none" strike="noStrike" baseline="0">
              <a:solidFill>
                <a:srgbClr val="000000"/>
              </a:solidFill>
              <a:latin typeface="Aptos Narrow"/>
            </a:rPr>
            <a:pPr algn="ctr"/>
            <a:t>480</a:t>
          </a:fld>
          <a:endParaRPr lang="en-IN" sz="1400" baseline="0"/>
        </a:p>
      </xdr:txBody>
    </xdr:sp>
    <xdr:clientData/>
  </xdr:twoCellAnchor>
  <xdr:twoCellAnchor editAs="absolute">
    <xdr:from>
      <xdr:col>2</xdr:col>
      <xdr:colOff>24422</xdr:colOff>
      <xdr:row>5</xdr:row>
      <xdr:rowOff>131884</xdr:rowOff>
    </xdr:from>
    <xdr:to>
      <xdr:col>3</xdr:col>
      <xdr:colOff>532422</xdr:colOff>
      <xdr:row>7</xdr:row>
      <xdr:rowOff>19537</xdr:rowOff>
    </xdr:to>
    <xdr:sp macro="" textlink="">
      <xdr:nvSpPr>
        <xdr:cNvPr id="56" name="TextBox 55">
          <a:extLst>
            <a:ext uri="{FF2B5EF4-FFF2-40B4-BE49-F238E27FC236}">
              <a16:creationId xmlns:a16="http://schemas.microsoft.com/office/drawing/2014/main" id="{B95A8950-ED2D-A0A7-4D29-DB6339E99EA9}"/>
            </a:ext>
          </a:extLst>
        </xdr:cNvPr>
        <xdr:cNvSpPr txBox="1"/>
      </xdr:nvSpPr>
      <xdr:spPr>
        <a:xfrm>
          <a:off x="1245576" y="1059961"/>
          <a:ext cx="1118577" cy="25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Avg Wait Time</a:t>
          </a:r>
        </a:p>
      </xdr:txBody>
    </xdr:sp>
    <xdr:clientData/>
  </xdr:twoCellAnchor>
  <xdr:twoCellAnchor editAs="absolute">
    <xdr:from>
      <xdr:col>2</xdr:col>
      <xdr:colOff>19538</xdr:colOff>
      <xdr:row>4</xdr:row>
      <xdr:rowOff>68389</xdr:rowOff>
    </xdr:from>
    <xdr:to>
      <xdr:col>3</xdr:col>
      <xdr:colOff>532422</xdr:colOff>
      <xdr:row>5</xdr:row>
      <xdr:rowOff>102581</xdr:rowOff>
    </xdr:to>
    <xdr:sp macro="" textlink="'Pivot Report'!C5">
      <xdr:nvSpPr>
        <xdr:cNvPr id="57" name="TextBox 56">
          <a:extLst>
            <a:ext uri="{FF2B5EF4-FFF2-40B4-BE49-F238E27FC236}">
              <a16:creationId xmlns:a16="http://schemas.microsoft.com/office/drawing/2014/main" id="{C8F58105-20DA-1BEA-9FDF-09AC9CCBF29C}"/>
            </a:ext>
          </a:extLst>
        </xdr:cNvPr>
        <xdr:cNvSpPr txBox="1"/>
      </xdr:nvSpPr>
      <xdr:spPr>
        <a:xfrm>
          <a:off x="1240692" y="810851"/>
          <a:ext cx="1123461" cy="21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FD7E9AB-7CDE-43C6-B67D-403E4146ED3E}" type="TxLink">
            <a:rPr lang="en-US" sz="1400" b="0" i="0" u="none" strike="noStrike">
              <a:solidFill>
                <a:srgbClr val="000000"/>
              </a:solidFill>
              <a:latin typeface="Aptos Narrow"/>
            </a:rPr>
            <a:pPr algn="ctr"/>
            <a:t>34.43</a:t>
          </a:fld>
          <a:endParaRPr lang="en-IN" sz="1400"/>
        </a:p>
      </xdr:txBody>
    </xdr:sp>
    <xdr:clientData/>
  </xdr:twoCellAnchor>
  <xdr:twoCellAnchor editAs="absolute">
    <xdr:from>
      <xdr:col>3</xdr:col>
      <xdr:colOff>607156</xdr:colOff>
      <xdr:row>5</xdr:row>
      <xdr:rowOff>136771</xdr:rowOff>
    </xdr:from>
    <xdr:to>
      <xdr:col>5</xdr:col>
      <xdr:colOff>504579</xdr:colOff>
      <xdr:row>6</xdr:row>
      <xdr:rowOff>133351</xdr:rowOff>
    </xdr:to>
    <xdr:sp macro="" textlink="">
      <xdr:nvSpPr>
        <xdr:cNvPr id="58" name="TextBox 57">
          <a:extLst>
            <a:ext uri="{FF2B5EF4-FFF2-40B4-BE49-F238E27FC236}">
              <a16:creationId xmlns:a16="http://schemas.microsoft.com/office/drawing/2014/main" id="{32B48D0E-55E5-64B0-F0B7-569E5FAE23DD}"/>
            </a:ext>
          </a:extLst>
        </xdr:cNvPr>
        <xdr:cNvSpPr txBox="1"/>
      </xdr:nvSpPr>
      <xdr:spPr>
        <a:xfrm>
          <a:off x="2435956" y="1057521"/>
          <a:ext cx="1116623" cy="180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20" b="1"/>
            <a:t>Patient Satisfaction Score</a:t>
          </a:r>
        </a:p>
      </xdr:txBody>
    </xdr:sp>
    <xdr:clientData/>
  </xdr:twoCellAnchor>
  <xdr:twoCellAnchor editAs="absolute">
    <xdr:from>
      <xdr:col>3</xdr:col>
      <xdr:colOff>595922</xdr:colOff>
      <xdr:row>4</xdr:row>
      <xdr:rowOff>73275</xdr:rowOff>
    </xdr:from>
    <xdr:to>
      <xdr:col>5</xdr:col>
      <xdr:colOff>498229</xdr:colOff>
      <xdr:row>5</xdr:row>
      <xdr:rowOff>107467</xdr:rowOff>
    </xdr:to>
    <xdr:sp macro="" textlink="'Pivot Report'!E5">
      <xdr:nvSpPr>
        <xdr:cNvPr id="59" name="TextBox 58">
          <a:extLst>
            <a:ext uri="{FF2B5EF4-FFF2-40B4-BE49-F238E27FC236}">
              <a16:creationId xmlns:a16="http://schemas.microsoft.com/office/drawing/2014/main" id="{76A57195-C11C-CB10-6CEC-1177D2403A91}"/>
            </a:ext>
          </a:extLst>
        </xdr:cNvPr>
        <xdr:cNvSpPr txBox="1"/>
      </xdr:nvSpPr>
      <xdr:spPr>
        <a:xfrm>
          <a:off x="2427653" y="815737"/>
          <a:ext cx="1123461" cy="21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43BA013-B133-43FF-9E66-609FE476FD8F}" type="TxLink">
            <a:rPr lang="en-US" sz="1400" b="0" i="0" u="none" strike="noStrike">
              <a:solidFill>
                <a:srgbClr val="000000"/>
              </a:solidFill>
              <a:latin typeface="Aptos Narrow"/>
            </a:rPr>
            <a:pPr algn="ctr"/>
            <a:t>5.16</a:t>
          </a:fld>
          <a:endParaRPr lang="en-IN" sz="1400"/>
        </a:p>
      </xdr:txBody>
    </xdr:sp>
    <xdr:clientData/>
  </xdr:twoCellAnchor>
  <xdr:twoCellAnchor editAs="oneCell">
    <xdr:from>
      <xdr:col>1</xdr:col>
      <xdr:colOff>273540</xdr:colOff>
      <xdr:row>3</xdr:row>
      <xdr:rowOff>63501</xdr:rowOff>
    </xdr:from>
    <xdr:to>
      <xdr:col>1</xdr:col>
      <xdr:colOff>542192</xdr:colOff>
      <xdr:row>4</xdr:row>
      <xdr:rowOff>146537</xdr:rowOff>
    </xdr:to>
    <xdr:pic>
      <xdr:nvPicPr>
        <xdr:cNvPr id="61" name="Graphic 60" descr="Male profile with solid fill">
          <a:extLst>
            <a:ext uri="{FF2B5EF4-FFF2-40B4-BE49-F238E27FC236}">
              <a16:creationId xmlns:a16="http://schemas.microsoft.com/office/drawing/2014/main" id="{A5E72F40-F9D8-66F6-2E31-B53FBC9E44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4117" y="620347"/>
          <a:ext cx="268652" cy="268652"/>
        </a:xfrm>
        <a:prstGeom prst="rect">
          <a:avLst/>
        </a:prstGeom>
      </xdr:spPr>
    </xdr:pic>
    <xdr:clientData/>
  </xdr:twoCellAnchor>
  <xdr:twoCellAnchor editAs="oneCell">
    <xdr:from>
      <xdr:col>3</xdr:col>
      <xdr:colOff>293076</xdr:colOff>
      <xdr:row>3</xdr:row>
      <xdr:rowOff>73270</xdr:rowOff>
    </xdr:from>
    <xdr:to>
      <xdr:col>3</xdr:col>
      <xdr:colOff>527538</xdr:colOff>
      <xdr:row>4</xdr:row>
      <xdr:rowOff>122116</xdr:rowOff>
    </xdr:to>
    <xdr:pic>
      <xdr:nvPicPr>
        <xdr:cNvPr id="63" name="Graphic 62" descr="Hourglass Finished with solid fill">
          <a:extLst>
            <a:ext uri="{FF2B5EF4-FFF2-40B4-BE49-F238E27FC236}">
              <a16:creationId xmlns:a16="http://schemas.microsoft.com/office/drawing/2014/main" id="{81A6951C-361E-BEF4-3E8F-FE11646E39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24807" y="630116"/>
          <a:ext cx="234462" cy="234462"/>
        </a:xfrm>
        <a:prstGeom prst="rect">
          <a:avLst/>
        </a:prstGeom>
      </xdr:spPr>
    </xdr:pic>
    <xdr:clientData/>
  </xdr:twoCellAnchor>
  <xdr:twoCellAnchor editAs="oneCell">
    <xdr:from>
      <xdr:col>5</xdr:col>
      <xdr:colOff>136770</xdr:colOff>
      <xdr:row>3</xdr:row>
      <xdr:rowOff>58616</xdr:rowOff>
    </xdr:from>
    <xdr:to>
      <xdr:col>5</xdr:col>
      <xdr:colOff>498230</xdr:colOff>
      <xdr:row>5</xdr:row>
      <xdr:rowOff>5469</xdr:rowOff>
    </xdr:to>
    <xdr:pic>
      <xdr:nvPicPr>
        <xdr:cNvPr id="65" name="Graphic 64" descr="Customer review with solid fill">
          <a:extLst>
            <a:ext uri="{FF2B5EF4-FFF2-40B4-BE49-F238E27FC236}">
              <a16:creationId xmlns:a16="http://schemas.microsoft.com/office/drawing/2014/main" id="{DBB1D5C1-486F-AA31-E1DA-EF7318E6C5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9655" y="615462"/>
          <a:ext cx="361460" cy="318084"/>
        </a:xfrm>
        <a:prstGeom prst="rect">
          <a:avLst/>
        </a:prstGeom>
      </xdr:spPr>
    </xdr:pic>
    <xdr:clientData/>
  </xdr:twoCellAnchor>
  <xdr:twoCellAnchor editAs="absolute">
    <xdr:from>
      <xdr:col>13</xdr:col>
      <xdr:colOff>29308</xdr:colOff>
      <xdr:row>2</xdr:row>
      <xdr:rowOff>122116</xdr:rowOff>
    </xdr:from>
    <xdr:to>
      <xdr:col>13</xdr:col>
      <xdr:colOff>554908</xdr:colOff>
      <xdr:row>17</xdr:row>
      <xdr:rowOff>73885</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46570818-F410-49F6-AC10-A327DED2917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954108" y="490416"/>
              <a:ext cx="525600" cy="271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276087</xdr:colOff>
      <xdr:row>1</xdr:row>
      <xdr:rowOff>71783</xdr:rowOff>
    </xdr:from>
    <xdr:to>
      <xdr:col>13</xdr:col>
      <xdr:colOff>552174</xdr:colOff>
      <xdr:row>3</xdr:row>
      <xdr:rowOff>22087</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F34F5EFD-8C08-44F6-A72A-0C33DB8D155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603010" y="257398"/>
              <a:ext cx="886664" cy="321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74448</xdr:colOff>
      <xdr:row>5</xdr:row>
      <xdr:rowOff>165100</xdr:rowOff>
    </xdr:from>
    <xdr:to>
      <xdr:col>1</xdr:col>
      <xdr:colOff>564931</xdr:colOff>
      <xdr:row>8</xdr:row>
      <xdr:rowOff>43793</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EBB12EE2-033E-4442-8DA9-78574240D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25400</xdr:colOff>
      <xdr:row>5</xdr:row>
      <xdr:rowOff>139700</xdr:rowOff>
    </xdr:from>
    <xdr:to>
      <xdr:col>3</xdr:col>
      <xdr:colOff>520700</xdr:colOff>
      <xdr:row>8</xdr:row>
      <xdr:rowOff>50800</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DF9113FD-5A80-4706-877D-BF93DF14C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6350</xdr:colOff>
      <xdr:row>5</xdr:row>
      <xdr:rowOff>139700</xdr:rowOff>
    </xdr:from>
    <xdr:to>
      <xdr:col>5</xdr:col>
      <xdr:colOff>514350</xdr:colOff>
      <xdr:row>8</xdr:row>
      <xdr:rowOff>25400</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66D66D7E-E157-4C9D-A9B7-792E4FCD4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579782</xdr:colOff>
          <xdr:row>0</xdr:row>
          <xdr:rowOff>44174</xdr:rowOff>
        </xdr:from>
        <xdr:to>
          <xdr:col>12</xdr:col>
          <xdr:colOff>226391</xdr:colOff>
          <xdr:row>3</xdr:row>
          <xdr:rowOff>93869</xdr:rowOff>
        </xdr:to>
        <xdr:pic>
          <xdr:nvPicPr>
            <xdr:cNvPr id="7" name="Picture 6">
              <a:extLst>
                <a:ext uri="{FF2B5EF4-FFF2-40B4-BE49-F238E27FC236}">
                  <a16:creationId xmlns:a16="http://schemas.microsoft.com/office/drawing/2014/main" id="{D8900E67-904E-DE4C-FC0B-3C43A2328656}"/>
                </a:ext>
              </a:extLst>
            </xdr:cNvPr>
            <xdr:cNvPicPr>
              <a:picLocks noChangeAspect="1" noChangeArrowheads="1"/>
              <a:extLst>
                <a:ext uri="{84589F7E-364E-4C9E-8A38-B11213B215E9}">
                  <a14:cameraTool cellRange="'Pivot Report'!$K$16:$N$18" spid="_x0000_s2065"/>
                </a:ext>
              </a:extLst>
            </xdr:cNvPicPr>
          </xdr:nvPicPr>
          <xdr:blipFill>
            <a:blip xmlns:r="http://schemas.openxmlformats.org/officeDocument/2006/relationships" r:embed="rId14"/>
            <a:srcRect/>
            <a:stretch>
              <a:fillRect/>
            </a:stretch>
          </xdr:blipFill>
          <xdr:spPr bwMode="auto">
            <a:xfrm>
              <a:off x="3616739" y="44174"/>
              <a:ext cx="3898348" cy="596347"/>
            </a:xfrm>
            <a:prstGeom prst="roundRect">
              <a:avLst>
                <a:gd name="adj" fmla="val 13739"/>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12</xdr:col>
      <xdr:colOff>298174</xdr:colOff>
      <xdr:row>0</xdr:row>
      <xdr:rowOff>99391</xdr:rowOff>
    </xdr:from>
    <xdr:to>
      <xdr:col>13</xdr:col>
      <xdr:colOff>535609</xdr:colOff>
      <xdr:row>1</xdr:row>
      <xdr:rowOff>165653</xdr:rowOff>
    </xdr:to>
    <xdr:sp macro="" textlink="">
      <xdr:nvSpPr>
        <xdr:cNvPr id="9" name="TextBox 8">
          <a:extLst>
            <a:ext uri="{FF2B5EF4-FFF2-40B4-BE49-F238E27FC236}">
              <a16:creationId xmlns:a16="http://schemas.microsoft.com/office/drawing/2014/main" id="{780A1241-CFD5-945F-EB71-537E32A75880}"/>
            </a:ext>
          </a:extLst>
        </xdr:cNvPr>
        <xdr:cNvSpPr txBox="1"/>
      </xdr:nvSpPr>
      <xdr:spPr>
        <a:xfrm>
          <a:off x="7586870" y="99391"/>
          <a:ext cx="844826"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50000"/>
                </a:schemeClr>
              </a:solidFill>
            </a:rPr>
            <a:t>Select Year</a:t>
          </a:r>
        </a:p>
      </xdr:txBody>
    </xdr:sp>
    <xdr:clientData/>
  </xdr:twoCellAnchor>
  <xdr:twoCellAnchor>
    <xdr:from>
      <xdr:col>5</xdr:col>
      <xdr:colOff>572774</xdr:colOff>
      <xdr:row>3</xdr:row>
      <xdr:rowOff>160131</xdr:rowOff>
    </xdr:from>
    <xdr:to>
      <xdr:col>12</xdr:col>
      <xdr:colOff>525517</xdr:colOff>
      <xdr:row>9</xdr:row>
      <xdr:rowOff>183930</xdr:rowOff>
    </xdr:to>
    <xdr:graphicFrame macro="">
      <xdr:nvGraphicFramePr>
        <xdr:cNvPr id="11" name="Chart 10">
          <a:extLst>
            <a:ext uri="{FF2B5EF4-FFF2-40B4-BE49-F238E27FC236}">
              <a16:creationId xmlns:a16="http://schemas.microsoft.com/office/drawing/2014/main" id="{A7777CDB-6234-4C6C-973B-824C9A5AD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595587</xdr:colOff>
      <xdr:row>10</xdr:row>
      <xdr:rowOff>70068</xdr:rowOff>
    </xdr:from>
    <xdr:to>
      <xdr:col>12</xdr:col>
      <xdr:colOff>534276</xdr:colOff>
      <xdr:row>17</xdr:row>
      <xdr:rowOff>87585</xdr:rowOff>
    </xdr:to>
    <xdr:graphicFrame macro="">
      <xdr:nvGraphicFramePr>
        <xdr:cNvPr id="13" name="Chart 12">
          <a:extLst>
            <a:ext uri="{FF2B5EF4-FFF2-40B4-BE49-F238E27FC236}">
              <a16:creationId xmlns:a16="http://schemas.microsoft.com/office/drawing/2014/main" id="{8731CC87-E417-4D14-9E7B-098F8C02A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4381</xdr:colOff>
      <xdr:row>8</xdr:row>
      <xdr:rowOff>118242</xdr:rowOff>
    </xdr:from>
    <xdr:to>
      <xdr:col>5</xdr:col>
      <xdr:colOff>521138</xdr:colOff>
      <xdr:row>17</xdr:row>
      <xdr:rowOff>105103</xdr:rowOff>
    </xdr:to>
    <xdr:graphicFrame macro="">
      <xdr:nvGraphicFramePr>
        <xdr:cNvPr id="18" name="Chart 17">
          <a:extLst>
            <a:ext uri="{FF2B5EF4-FFF2-40B4-BE49-F238E27FC236}">
              <a16:creationId xmlns:a16="http://schemas.microsoft.com/office/drawing/2014/main" id="{43AC0ED9-C996-40B8-BE13-3812878A7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68385</xdr:colOff>
      <xdr:row>8</xdr:row>
      <xdr:rowOff>122115</xdr:rowOff>
    </xdr:from>
    <xdr:to>
      <xdr:col>2</xdr:col>
      <xdr:colOff>527538</xdr:colOff>
      <xdr:row>17</xdr:row>
      <xdr:rowOff>112345</xdr:rowOff>
    </xdr:to>
    <xdr:graphicFrame macro="">
      <xdr:nvGraphicFramePr>
        <xdr:cNvPr id="20" name="Chart 19">
          <a:extLst>
            <a:ext uri="{FF2B5EF4-FFF2-40B4-BE49-F238E27FC236}">
              <a16:creationId xmlns:a16="http://schemas.microsoft.com/office/drawing/2014/main" id="{204ADFEA-DCB8-42CD-9A84-8DC67D594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349250</xdr:colOff>
      <xdr:row>1</xdr:row>
      <xdr:rowOff>19050</xdr:rowOff>
    </xdr:from>
    <xdr:to>
      <xdr:col>12</xdr:col>
      <xdr:colOff>241300</xdr:colOff>
      <xdr:row>18</xdr:row>
      <xdr:rowOff>63500</xdr:rowOff>
    </xdr:to>
    <xdr:graphicFrame macro="">
      <xdr:nvGraphicFramePr>
        <xdr:cNvPr id="2" name="Chart 1">
          <a:extLst>
            <a:ext uri="{FF2B5EF4-FFF2-40B4-BE49-F238E27FC236}">
              <a16:creationId xmlns:a16="http://schemas.microsoft.com/office/drawing/2014/main" id="{A1DB67B4-C2DD-44C1-B5BF-D7785D1F1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273050</xdr:colOff>
      <xdr:row>18</xdr:row>
      <xdr:rowOff>107950</xdr:rowOff>
    </xdr:from>
    <xdr:to>
      <xdr:col>12</xdr:col>
      <xdr:colOff>234950</xdr:colOff>
      <xdr:row>20</xdr:row>
      <xdr:rowOff>38100</xdr:rowOff>
    </xdr:to>
    <xdr:sp macro="" textlink="">
      <xdr:nvSpPr>
        <xdr:cNvPr id="3" name="TextBox 2">
          <a:extLst>
            <a:ext uri="{FF2B5EF4-FFF2-40B4-BE49-F238E27FC236}">
              <a16:creationId xmlns:a16="http://schemas.microsoft.com/office/drawing/2014/main" id="{FA1FBC04-C90D-45D9-CACC-D0A5ABB5F89A}"/>
            </a:ext>
          </a:extLst>
        </xdr:cNvPr>
        <xdr:cNvSpPr txBox="1"/>
      </xdr:nvSpPr>
      <xdr:spPr>
        <a:xfrm>
          <a:off x="273050" y="3422650"/>
          <a:ext cx="7277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Showing a daily trend with an area sparkline to spot patterns like busy days or seasonal trends.</a:t>
          </a:r>
        </a:p>
      </xdr:txBody>
    </xdr:sp>
    <xdr:clientData/>
  </xdr:twoCellAnchor>
  <xdr:twoCellAnchor editAs="oneCell">
    <xdr:from>
      <xdr:col>0</xdr:col>
      <xdr:colOff>438150</xdr:colOff>
      <xdr:row>1</xdr:row>
      <xdr:rowOff>101600</xdr:rowOff>
    </xdr:from>
    <xdr:to>
      <xdr:col>1</xdr:col>
      <xdr:colOff>317500</xdr:colOff>
      <xdr:row>4</xdr:row>
      <xdr:rowOff>38100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07CBB035-5968-4DB3-0FD2-A27A18DAAF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8150" y="285750"/>
          <a:ext cx="488950" cy="488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xdr:row>
      <xdr:rowOff>44450</xdr:rowOff>
    </xdr:from>
    <xdr:to>
      <xdr:col>13</xdr:col>
      <xdr:colOff>565150</xdr:colOff>
      <xdr:row>17</xdr:row>
      <xdr:rowOff>25400</xdr:rowOff>
    </xdr:to>
    <xdr:graphicFrame macro="">
      <xdr:nvGraphicFramePr>
        <xdr:cNvPr id="2" name="Chart 1">
          <a:extLst>
            <a:ext uri="{FF2B5EF4-FFF2-40B4-BE49-F238E27FC236}">
              <a16:creationId xmlns:a16="http://schemas.microsoft.com/office/drawing/2014/main" id="{87CDE8A6-CBB6-40C0-806B-B8D054292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17</xdr:row>
      <xdr:rowOff>44450</xdr:rowOff>
    </xdr:from>
    <xdr:to>
      <xdr:col>12</xdr:col>
      <xdr:colOff>184150</xdr:colOff>
      <xdr:row>18</xdr:row>
      <xdr:rowOff>158750</xdr:rowOff>
    </xdr:to>
    <xdr:sp macro="" textlink="">
      <xdr:nvSpPr>
        <xdr:cNvPr id="4" name="TextBox 3">
          <a:extLst>
            <a:ext uri="{FF2B5EF4-FFF2-40B4-BE49-F238E27FC236}">
              <a16:creationId xmlns:a16="http://schemas.microsoft.com/office/drawing/2014/main" id="{6B3FF970-C5C8-4CF0-ACB1-5794B2D80DE3}"/>
            </a:ext>
          </a:extLst>
        </xdr:cNvPr>
        <xdr:cNvSpPr txBox="1"/>
      </xdr:nvSpPr>
      <xdr:spPr>
        <a:xfrm>
          <a:off x="222250" y="3175000"/>
          <a:ext cx="7277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Showing a daily trend with an area sparkline to spot patterns like busy days or seasonal trends.</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0.00231</cdr:x>
      <cdr:y>0</cdr:y>
    </cdr:from>
    <cdr:to>
      <cdr:x>0.06226</cdr:x>
      <cdr:y>0.16269</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4DE8436-75BE-28E3-91B2-1A7813AF25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050" y="0"/>
          <a:ext cx="495300" cy="4762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317500</xdr:colOff>
      <xdr:row>0</xdr:row>
      <xdr:rowOff>107950</xdr:rowOff>
    </xdr:from>
    <xdr:to>
      <xdr:col>13</xdr:col>
      <xdr:colOff>69850</xdr:colOff>
      <xdr:row>15</xdr:row>
      <xdr:rowOff>133350</xdr:rowOff>
    </xdr:to>
    <xdr:graphicFrame macro="">
      <xdr:nvGraphicFramePr>
        <xdr:cNvPr id="2" name="Chart 1">
          <a:extLst>
            <a:ext uri="{FF2B5EF4-FFF2-40B4-BE49-F238E27FC236}">
              <a16:creationId xmlns:a16="http://schemas.microsoft.com/office/drawing/2014/main" id="{3EB65BC7-4414-47BF-AA99-C86FD9B7C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15</xdr:row>
      <xdr:rowOff>146050</xdr:rowOff>
    </xdr:from>
    <xdr:to>
      <xdr:col>13</xdr:col>
      <xdr:colOff>196850</xdr:colOff>
      <xdr:row>17</xdr:row>
      <xdr:rowOff>76200</xdr:rowOff>
    </xdr:to>
    <xdr:sp macro="" textlink="">
      <xdr:nvSpPr>
        <xdr:cNvPr id="3" name="TextBox 2">
          <a:extLst>
            <a:ext uri="{FF2B5EF4-FFF2-40B4-BE49-F238E27FC236}">
              <a16:creationId xmlns:a16="http://schemas.microsoft.com/office/drawing/2014/main" id="{C1E2B2BB-B74B-4E53-892A-F6A99ED3743B}"/>
            </a:ext>
          </a:extLst>
        </xdr:cNvPr>
        <xdr:cNvSpPr txBox="1"/>
      </xdr:nvSpPr>
      <xdr:spPr>
        <a:xfrm>
          <a:off x="247650" y="2908300"/>
          <a:ext cx="78740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Use an area Chart to show trends, spot drops in satisfaction, and link them to busy times or challenges.</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0.00779</cdr:x>
      <cdr:y>0.00458</cdr:y>
    </cdr:from>
    <cdr:to>
      <cdr:x>0.07108</cdr:x>
      <cdr:y>0.15332</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E6F5A16-D2A2-E9C1-5B9E-8D75B8EA9A3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12700"/>
          <a:ext cx="412750" cy="4127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6458337" createdVersion="5" refreshedVersion="8" minRefreshableVersion="3" recordCount="0" supportSubquery="1" supportAdvancedDrill="1" xr:uid="{9CD83541-C0E7-4FE4-BFB8-317CEC2EF7F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6689814" createdVersion="5" refreshedVersion="8" minRefreshableVersion="3" recordCount="0" supportSubquery="1" supportAdvancedDrill="1" xr:uid="{D757A537-FF55-490C-B4A6-68023C508C98}">
  <cacheSource type="external" connectionId="3"/>
  <cacheFields count="3">
    <cacheField name="[Measures].[Distinct Count of Patient Id]" caption="Distinct Count of Patient Id" numFmtId="0" hierarchy="24"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7037037" createdVersion="5" refreshedVersion="8" minRefreshableVersion="3" recordCount="0" supportSubquery="1" supportAdvancedDrill="1" xr:uid="{B002BD96-87A9-4804-B837-C06BB2649FCD}">
  <cacheSource type="external" connectionId="3"/>
  <cacheFields count="3">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7268522" createdVersion="5" refreshedVersion="8" minRefreshableVersion="3" recordCount="0" supportSubquery="1" supportAdvancedDrill="1" xr:uid="{310A2C8C-35E0-4B6F-B6FE-B481CCD2052B}">
  <cacheSource type="external" connectionId="3"/>
  <cacheFields count="3">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7731484" createdVersion="5" refreshedVersion="8" minRefreshableVersion="3" recordCount="0" supportSubquery="1" supportAdvancedDrill="1" xr:uid="{9395E622-C21E-4182-830C-C75BFD7E1E5E}">
  <cacheSource type="external" connectionId="3"/>
  <cacheFields count="2">
    <cacheField name="[Calendar_Table].[Date (Year)].[Date (Year)]" caption="Date (Year)" numFmtId="0" hierarchy="3" level="1">
      <sharedItems count="1">
        <s v="2023"/>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8310184" createdVersion="5" refreshedVersion="8" minRefreshableVersion="3" recordCount="0" supportSubquery="1" supportAdvancedDrill="1" xr:uid="{C0CBAD64-DC50-4611-A42C-94570D5FE3B0}">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8888892" createdVersion="5" refreshedVersion="8" minRefreshableVersion="3" recordCount="0" supportSubquery="1" supportAdvancedDrill="1" xr:uid="{48A4B039-17F1-4E08-B03B-3172F1E28A35}">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9351854" createdVersion="5" refreshedVersion="8" minRefreshableVersion="3" recordCount="0" supportSubquery="1" supportAdvancedDrill="1" xr:uid="{6EA37822-F904-43BD-BC90-771DC5E4157C}">
  <cacheSource type="external" connectionId="3"/>
  <cacheFields count="5">
    <cacheField name="[Calenda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Month)].[Date (Month)]" caption="Date (Month)" numFmtId="0" hierarchy="1"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89930555" createdVersion="5" refreshedVersion="8" minRefreshableVersion="3" recordCount="0" supportSubquery="1" supportAdvancedDrill="1" xr:uid="{E69FA630-9307-451F-B550-63D7A1A59B83}">
  <cacheSource type="external" connectionId="3"/>
  <cacheFields count="4">
    <cacheField name="[Calendar_Table].[Date (Year)].[Date (Year)]" caption="Date (Year)" numFmtId="0" hierarchy="3"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2"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90509263" createdVersion="5" refreshedVersion="8" minRefreshableVersion="3" recordCount="0" supportSubquery="1" supportAdvancedDrill="1" xr:uid="{10DAC6AF-91FD-4C5B-B3C4-07F01812A3F3}">
  <cacheSource type="external" connectionId="3"/>
  <cacheFields count="4">
    <cacheField name="[Calendar_Table].[Date (Year)].[Date (Year)]" caption="Date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90856479" createdVersion="5" refreshedVersion="8" minRefreshableVersion="3" recordCount="0" supportSubquery="1" supportAdvancedDrill="1" xr:uid="{FE1E7353-03C0-4309-B396-37CCB3E1EAE7}">
  <cacheSource type="external" connectionId="3"/>
  <cacheFields count="4">
    <cacheField name="[Calendar_Table].[Date (Year)].[Date (Year)]" caption="Date (Year)"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6.677991203702" createdVersion="5" refreshedVersion="8" minRefreshableVersion="3" recordCount="0" supportSubquery="1" supportAdvancedDrill="1" xr:uid="{03DED5B1-FFB4-45E3-8724-B28CAAD60BFA}">
  <cacheSource type="external" connectionId="3"/>
  <cacheFields count="4">
    <cacheField name="[Calendar_Table].[Date (Year)].[Date (Year)]" caption="Date (Year)"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0"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14.686584143521" createdVersion="3" refreshedVersion="8" minRefreshableVersion="3" recordCount="0" supportSubquery="1" supportAdvancedDrill="1" xr:uid="{6112FDB4-8F18-4B7B-ACA0-281C77CB388B}">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589882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2487D-76B1-4BD1-A49F-0F4265204519}" name="PivotTable12" cacheId="10" applyNumberFormats="0" applyBorderFormats="0" applyFontFormats="0" applyPatternFormats="0" applyAlignmentFormats="0" applyWidthHeightFormats="1" dataCaption="Values" tag="7b7b4940-d3f0-4202-a7a0-acab2ff134fe" updatedVersion="8" minRefreshableVersion="3" subtotalHiddenItems="1" rowGrandTotals="0" itemPrintTitles="1" createdVersion="5" indent="0" outline="1" outlineData="1" multipleFieldFilters="0" chartFormat="102">
  <location ref="P45:Q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Attend Status" fld="2" subtotal="count" baseField="0" baseItem="0"/>
  </dataFields>
  <chartFormats count="4">
    <chartFormat chart="96" format="0" series="1">
      <pivotArea type="data" outline="0" fieldPosition="0">
        <references count="1">
          <reference field="4294967294" count="1" selected="0">
            <x v="0"/>
          </reference>
        </references>
      </pivotArea>
    </chartFormat>
    <chartFormat chart="100" format="4" series="1">
      <pivotArea type="data" outline="0" fieldPosition="0">
        <references count="1">
          <reference field="4294967294" count="1" selected="0">
            <x v="0"/>
          </reference>
        </references>
      </pivotArea>
    </chartFormat>
    <chartFormat chart="100" format="5">
      <pivotArea type="data" outline="0" fieldPosition="0">
        <references count="2">
          <reference field="4294967294" count="1" selected="0">
            <x v="0"/>
          </reference>
          <reference field="1" count="1" selected="0">
            <x v="0"/>
          </reference>
        </references>
      </pivotArea>
    </chartFormat>
    <chartFormat chart="10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caption="%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C5EA4-E1F1-4D91-9F7A-19DB6E994211}" name="PivotTable7" cacheId="6" applyNumberFormats="0" applyBorderFormats="0" applyFontFormats="0" applyPatternFormats="0" applyAlignmentFormats="0" applyWidthHeightFormats="1" dataCaption="Values" tag="e74b3bf7-dcf0-4bd3-a106-9ba819a2f515" updatedVersion="8" minRefreshableVersion="3" subtotalHiddenItems="1" itemPrintTitles="1" createdVersion="5" indent="0" outline="1" outlineData="1" multipleFieldFilters="0" chartFormat="60">
  <location ref="H9:I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0">
      <pivotArea collapsedLevelsAreSubtotals="1" fieldPosition="0">
        <references count="1">
          <reference field="0" count="0"/>
        </references>
      </pivotArea>
    </format>
  </formats>
  <chartFormats count="2">
    <chartFormat chart="51" format="2"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AA7DC-603B-4BF5-8841-2B9DF023FABB}" name="PivotTable3" cacheId="3" applyNumberFormats="0" applyBorderFormats="0" applyFontFormats="0" applyPatternFormats="0" applyAlignmentFormats="0" applyWidthHeightFormats="1" dataCaption="Values" tag="2fda2377-365d-4b0e-994a-9964e7a2ad9c" updatedVersion="8" minRefreshableVersion="3" subtotalHiddenItems="1" itemPrintTitles="1" createdVersion="5" indent="0" outline="1" outlineData="1" multipleFieldFilters="0">
  <location ref="E4:E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75167-B905-40CB-A620-8A8EEB43884B}" name="PivotTable11" cacheId="9" applyNumberFormats="0" applyBorderFormats="0" applyFontFormats="0" applyPatternFormats="0" applyAlignmentFormats="0" applyWidthHeightFormats="1" dataCaption="Values" tag="7b7b4940-d3f0-4202-a7a0-acab2ff134fe" updatedVersion="8" minRefreshableVersion="3" subtotalHiddenItems="1" rowGrandTotals="0" itemPrintTitles="1" createdVersion="5" indent="0" outline="1" outlineData="1" multipleFieldFilters="0" chartFormat="90">
  <location ref="P33:Q4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7"/>
    </i>
    <i>
      <x v="3"/>
    </i>
    <i>
      <x/>
    </i>
    <i>
      <x v="1"/>
    </i>
    <i>
      <x v="6"/>
    </i>
    <i>
      <x v="5"/>
    </i>
    <i>
      <x v="2"/>
    </i>
    <i>
      <x v="4"/>
    </i>
  </rowItems>
  <colItems count="1">
    <i/>
  </colItems>
  <dataFields count="1">
    <dataField name="Count of Department Referral" fld="2" subtotal="count" baseField="0" baseItem="0"/>
  </dataFields>
  <chartFormats count="1">
    <chartFormat chart="89"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caption="%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6E2AD-EEBC-40AA-868D-67C33D2B67BF}" name="PivotTable5" cacheId="4" applyNumberFormats="0" applyBorderFormats="0" applyFontFormats="0" applyPatternFormats="0" applyAlignmentFormats="0" applyWidthHeightFormats="1" dataCaption="Values" tag="1910fb71-a536-4018-ba8d-04aed0f6c30a" updatedVersion="8" minRefreshableVersion="3" subtotalHiddenItems="1" rowGrandTotals="0" itemPrintTitles="1" createdVersion="5" indent="0" outline="1" outlineData="1" multipleFieldFilters="0">
  <location ref="D9:D10"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1">
    <i>
      <x/>
    </i>
  </rowItem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884270-FEE2-4303-96EA-B9DBF0FD30D3}" name="PivotTable4" cacheId="0" applyNumberFormats="0" applyBorderFormats="0" applyFontFormats="0" applyPatternFormats="0" applyAlignmentFormats="0" applyWidthHeightFormats="1" dataCaption="Values" tag="4489953b-4322-4a10-862e-b36e95159077" updatedVersion="8" minRefreshableVersion="3" subtotalHiddenItems="1" itemPrintTitles="1" createdVersion="5" indent="0" outline="1" outlineData="1" multipleFieldFilters="0" chartFormat="33">
  <location ref="A9:B41"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chartFormats count="2">
    <chartFormat chart="22" format="4"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15DB3-F6D4-48A6-8399-25096F69821A}" name="PivotTable8" cacheId="8" applyNumberFormats="0" applyBorderFormats="0" applyFontFormats="0" applyPatternFormats="0" applyAlignmentFormats="0" applyWidthHeightFormats="1" dataCaption="Values" tag="7b7b4940-d3f0-4202-a7a0-acab2ff134fe" updatedVersion="8" minRefreshableVersion="3" subtotalHiddenItems="1" rowGrandTotals="0" itemPrintTitles="1" createdVersion="5" indent="0" outline="1" outlineData="1" multipleFieldFilters="0" chartFormat="88">
  <location ref="P21:Q2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Age_Group" fld="2" subtotal="count" baseField="0" baseItem="0"/>
  </dataFields>
  <chartFormats count="1">
    <chartFormat chart="84"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caption="%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35FBC9-650D-4574-BBC0-93F7BF6E1D0E}" name="PivotTable2" cacheId="2" applyNumberFormats="0" applyBorderFormats="0" applyFontFormats="0" applyPatternFormats="0" applyAlignmentFormats="0" applyWidthHeightFormats="1" dataCaption="Values" tag="6324318b-0f03-42bc-9aee-057b09d57cea" updatedVersion="8" minRefreshableVersion="3" subtotalHiddenItems="1" itemPrintTitles="1" createdVersion="5" indent="0" outline="1" outlineData="1" multipleFieldFilters="0">
  <location ref="C4:C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F0D56A-CCD4-4DC4-AFB2-983D5E0E3541}" name="PivotTable1" cacheId="1" applyNumberFormats="0" applyBorderFormats="0" applyFontFormats="0" applyPatternFormats="0" applyAlignmentFormats="0" applyWidthHeightFormats="1" dataCaption="Values" tag="c81dc580-3754-4405-8ec4-292ff55598b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no. of patients"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9F35E6-E44E-4BC2-9356-9B5C8A0122B0}" name="PivotTable9" cacheId="7" applyNumberFormats="0" applyBorderFormats="0" applyFontFormats="0" applyPatternFormats="0" applyAlignmentFormats="0" applyWidthHeightFormats="1" dataCaption="Values" tag="7b7b4940-d3f0-4202-a7a0-acab2ff134fe" updatedVersion="8" minRefreshableVersion="3" subtotalHiddenItems="1" rowGrandTotals="0" itemPrintTitles="1" createdVersion="5" indent="0" outline="1" outlineData="1" multipleFieldFilters="0" chartFormat="78">
  <location ref="K9:M1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Count of Patient Admission Flag" fld="2" subtotal="count" baseField="0" baseItem="0"/>
    <dataField name="% Status"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4">
      <pivotArea outline="0" collapsedLevelsAreSubtotals="1" fieldPosition="0">
        <references count="1">
          <reference field="4294967294" count="1" selected="0">
            <x v="1"/>
          </reference>
        </references>
      </pivotArea>
    </format>
    <format dxfId="3">
      <pivotArea dataOnly="0" labelOnly="1" outline="0" fieldPosition="0">
        <references count="1">
          <reference field="4294967294" count="1">
            <x v="1"/>
          </reference>
        </references>
      </pivotArea>
    </format>
  </formats>
  <chartFormats count="4">
    <chartFormat chart="64"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1"/>
          </reference>
        </references>
      </pivotArea>
    </chartFormat>
    <chartFormat chart="64" format="2">
      <pivotArea type="data" outline="0" fieldPosition="0">
        <references count="2">
          <reference field="4294967294" count="1" selected="0">
            <x v="0"/>
          </reference>
          <reference field="1" count="1" selected="0">
            <x v="1"/>
          </reference>
        </references>
      </pivotArea>
    </chartFormat>
    <chartFormat chart="64"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caption="% Statu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94FB6A-80A0-442E-8441-6117D613029E}" name="PivotTable6" cacheId="5" applyNumberFormats="0" applyBorderFormats="0" applyFontFormats="0" applyPatternFormats="0" applyAlignmentFormats="0" applyWidthHeightFormats="1" dataCaption="Values" tag="58e02e25-5e25-43ce-b107-4767c66084ac" updatedVersion="8" minRefreshableVersion="3" subtotalHiddenItems="1" itemPrintTitles="1" createdVersion="5" indent="0" outline="1" outlineData="1" multipleFieldFilters="0" chartFormat="47">
  <location ref="E9:F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5">
      <pivotArea collapsedLevelsAreSubtotals="1" fieldPosition="0">
        <references count="1">
          <reference field="0" count="0"/>
        </references>
      </pivotArea>
    </format>
  </formats>
  <chartFormats count="2">
    <chartFormat chart="37"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82F39D-6CBC-417F-BB58-A0C22C706707}" name="PivotTable13" cacheId="11" applyNumberFormats="0" applyBorderFormats="0" applyFontFormats="0" applyPatternFormats="0" applyAlignmentFormats="0" applyWidthHeightFormats="1" dataCaption="Values" tag="7b7b4940-d3f0-4202-a7a0-acab2ff134fe" updatedVersion="8" minRefreshableVersion="3" subtotalHiddenItems="1" rowGrandTotals="0" itemPrintTitles="1" createdVersion="5" indent="0" outline="1" outlineData="1" multipleFieldFilters="0" chartFormat="109">
  <location ref="P51:Q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Gender" fld="2" subtotal="count" baseField="0" baseItem="0"/>
  </dataFields>
  <chartFormats count="3">
    <chartFormat chart="106" format="4" series="1">
      <pivotArea type="data" outline="0" fieldPosition="0">
        <references count="1">
          <reference field="4294967294" count="1" selected="0">
            <x v="0"/>
          </reference>
        </references>
      </pivotArea>
    </chartFormat>
    <chartFormat chart="106" format="5">
      <pivotArea type="data" outline="0" fieldPosition="0">
        <references count="2">
          <reference field="4294967294" count="1" selected="0">
            <x v="0"/>
          </reference>
          <reference field="1" count="1" selected="0">
            <x v="0"/>
          </reference>
        </references>
      </pivotArea>
    </chartFormat>
    <chartFormat chart="10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no. of patients"/>
    <pivotHierarchy dragToData="1"/>
    <pivotHierarchy dragToData="1" caption="Average of Patient Waittime"/>
    <pivotHierarchy dragToData="1"/>
    <pivotHierarchy dragToData="1" caption="Average of Patient Satisfaction Score"/>
    <pivotHierarchy dragToData="1" caption="% Statu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7A8CB24-2911-42F8-9928-F2974544074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8"/>
    <pivotTable tabId="1" name="PivotTable11"/>
    <pivotTable tabId="1" name="PivotTable12"/>
    <pivotTable tabId="1" name="PivotTable13"/>
  </pivotTables>
  <data>
    <olap pivotCacheId="185898824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C635F3E-DAE3-4A3E-A2B0-480360AF303B}" sourceName="[Calendar_Table].[Date (Year)]">
  <pivotTables>
    <pivotTable tabId="1" name="PivotTable1"/>
    <pivotTable tabId="1" name="PivotTable2"/>
    <pivotTable tabId="1" name="PivotTable3"/>
    <pivotTable tabId="1" name="PivotTable5"/>
    <pivotTable tabId="1" name="PivotTable11"/>
    <pivotTable tabId="1" name="PivotTable12"/>
    <pivotTable tabId="1" name="PivotTable13"/>
    <pivotTable tabId="1" name="PivotTable4"/>
    <pivotTable tabId="1" name="PivotTable6"/>
    <pivotTable tabId="1" name="PivotTable7"/>
    <pivotTable tabId="1" name="PivotTable8"/>
    <pivotTable tabId="1" name="PivotTable9"/>
  </pivotTables>
  <data>
    <olap pivotCacheId="185898824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6E80E07-59E8-4833-A501-4D71A3FAAA31}" cache="Slicer_Date__Month" caption="Date (Month)" showCaption="0" level="1" style="my style" rowHeight="180000"/>
  <slicer name="Date (Year)" xr10:uid="{619D5657-1C14-43B6-87C0-121E6F755D27}" cache="Slicer_Date__Year" caption="Date (Year)" columnCount="2" showCaption="0" level="1" style="my style 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C055B-5691-4AD1-B73C-7520370425A2}">
  <dimension ref="A4:Q53"/>
  <sheetViews>
    <sheetView tabSelected="1" zoomScale="130" zoomScaleNormal="130" workbookViewId="0">
      <selection activeCell="Q45" sqref="Q45"/>
    </sheetView>
  </sheetViews>
  <sheetFormatPr defaultRowHeight="14.5" x14ac:dyDescent="0.35"/>
  <cols>
    <col min="1" max="2" width="17.36328125" bestFit="1" customWidth="1"/>
    <col min="3" max="3" width="24" bestFit="1" customWidth="1"/>
    <col min="4" max="4" width="17.36328125" bestFit="1" customWidth="1"/>
    <col min="5" max="5" width="31.7265625" bestFit="1" customWidth="1"/>
    <col min="6" max="6" width="24" bestFit="1" customWidth="1"/>
    <col min="7" max="7" width="10.08984375" bestFit="1" customWidth="1"/>
    <col min="8" max="8" width="12.453125" bestFit="1" customWidth="1"/>
    <col min="9" max="9" width="32.54296875" customWidth="1"/>
    <col min="10" max="10" width="10.08984375" bestFit="1" customWidth="1"/>
    <col min="11" max="11" width="15.453125" bestFit="1" customWidth="1"/>
    <col min="12" max="12" width="8.6328125" customWidth="1"/>
    <col min="13" max="13" width="8.81640625" customWidth="1"/>
    <col min="14" max="14" width="18.6328125" customWidth="1"/>
    <col min="15" max="16" width="10.08984375" bestFit="1" customWidth="1"/>
    <col min="17" max="17" width="26.26953125" bestFit="1" customWidth="1"/>
    <col min="18" max="732" width="10.08984375" bestFit="1" customWidth="1"/>
    <col min="733" max="733" width="10.36328125" bestFit="1" customWidth="1"/>
  </cols>
  <sheetData>
    <row r="4" spans="1:16" x14ac:dyDescent="0.35">
      <c r="A4" t="s">
        <v>0</v>
      </c>
      <c r="C4" t="s">
        <v>1</v>
      </c>
      <c r="E4" t="s">
        <v>2</v>
      </c>
    </row>
    <row r="5" spans="1:16" x14ac:dyDescent="0.35">
      <c r="A5" s="1">
        <v>480</v>
      </c>
      <c r="C5" s="3">
        <v>34.429166666666667</v>
      </c>
      <c r="E5" s="3">
        <v>5.1640625</v>
      </c>
    </row>
    <row r="8" spans="1:16" x14ac:dyDescent="0.35">
      <c r="A8" t="s">
        <v>6</v>
      </c>
      <c r="E8" t="s">
        <v>7</v>
      </c>
      <c r="I8" t="s">
        <v>8</v>
      </c>
    </row>
    <row r="9" spans="1:16" x14ac:dyDescent="0.35">
      <c r="A9" s="4" t="s">
        <v>3</v>
      </c>
      <c r="B9" t="s">
        <v>0</v>
      </c>
      <c r="D9" s="4" t="s">
        <v>3</v>
      </c>
      <c r="E9" s="4" t="s">
        <v>3</v>
      </c>
      <c r="F9" t="s">
        <v>1</v>
      </c>
      <c r="H9" s="4" t="s">
        <v>3</v>
      </c>
      <c r="I9" t="s">
        <v>2</v>
      </c>
      <c r="K9" s="4" t="s">
        <v>3</v>
      </c>
      <c r="L9" t="s">
        <v>11</v>
      </c>
      <c r="M9" s="7" t="s">
        <v>12</v>
      </c>
      <c r="N9" s="7"/>
      <c r="O9" s="7"/>
      <c r="P9" s="7"/>
    </row>
    <row r="10" spans="1:16" x14ac:dyDescent="0.35">
      <c r="A10" s="5" t="s">
        <v>45</v>
      </c>
      <c r="B10" s="1">
        <v>20</v>
      </c>
      <c r="D10" s="5" t="s">
        <v>5</v>
      </c>
      <c r="E10" s="5" t="s">
        <v>45</v>
      </c>
      <c r="F10" s="3">
        <v>31.5</v>
      </c>
      <c r="H10" s="5" t="s">
        <v>45</v>
      </c>
      <c r="I10" s="3">
        <v>5.5</v>
      </c>
      <c r="K10" s="5" t="s">
        <v>9</v>
      </c>
      <c r="L10" s="1">
        <v>229</v>
      </c>
      <c r="M10" s="7">
        <v>0.47708333333333336</v>
      </c>
      <c r="N10" s="7"/>
      <c r="O10" s="7"/>
      <c r="P10" s="7"/>
    </row>
    <row r="11" spans="1:16" x14ac:dyDescent="0.35">
      <c r="A11" s="5" t="s">
        <v>46</v>
      </c>
      <c r="B11" s="1">
        <v>16</v>
      </c>
      <c r="E11" s="5" t="s">
        <v>46</v>
      </c>
      <c r="F11" s="3">
        <v>34.25</v>
      </c>
      <c r="H11" s="5" t="s">
        <v>46</v>
      </c>
      <c r="I11" s="3">
        <v>3.3333333333333335</v>
      </c>
      <c r="K11" s="5" t="s">
        <v>10</v>
      </c>
      <c r="L11" s="1">
        <v>251</v>
      </c>
      <c r="M11" s="7">
        <v>0.5229166666666667</v>
      </c>
      <c r="N11" s="7"/>
      <c r="O11" s="7"/>
      <c r="P11" s="7"/>
    </row>
    <row r="12" spans="1:16" x14ac:dyDescent="0.35">
      <c r="A12" s="5" t="s">
        <v>47</v>
      </c>
      <c r="B12" s="1">
        <v>20</v>
      </c>
      <c r="E12" s="5" t="s">
        <v>47</v>
      </c>
      <c r="F12" s="3">
        <v>41.1</v>
      </c>
      <c r="H12" s="5" t="s">
        <v>47</v>
      </c>
      <c r="I12" s="3">
        <v>6</v>
      </c>
    </row>
    <row r="13" spans="1:16" x14ac:dyDescent="0.35">
      <c r="A13" s="5" t="s">
        <v>48</v>
      </c>
      <c r="B13" s="1">
        <v>16</v>
      </c>
      <c r="E13" s="5" t="s">
        <v>48</v>
      </c>
      <c r="F13" s="3">
        <v>31</v>
      </c>
      <c r="H13" s="5" t="s">
        <v>48</v>
      </c>
      <c r="I13" s="3">
        <v>4.8</v>
      </c>
    </row>
    <row r="14" spans="1:16" x14ac:dyDescent="0.35">
      <c r="A14" s="5" t="s">
        <v>49</v>
      </c>
      <c r="B14" s="1">
        <v>18</v>
      </c>
      <c r="E14" s="5" t="s">
        <v>49</v>
      </c>
      <c r="F14" s="3">
        <v>33.666666666666664</v>
      </c>
      <c r="H14" s="5" t="s">
        <v>49</v>
      </c>
      <c r="I14" s="3">
        <v>5.5</v>
      </c>
    </row>
    <row r="15" spans="1:16" x14ac:dyDescent="0.35">
      <c r="A15" s="5" t="s">
        <v>50</v>
      </c>
      <c r="B15" s="1">
        <v>16</v>
      </c>
      <c r="E15" s="5" t="s">
        <v>50</v>
      </c>
      <c r="F15" s="3">
        <v>34.5625</v>
      </c>
      <c r="H15" s="5" t="s">
        <v>50</v>
      </c>
      <c r="I15" s="3">
        <v>5.25</v>
      </c>
    </row>
    <row r="16" spans="1:16" x14ac:dyDescent="0.35">
      <c r="A16" s="5" t="s">
        <v>51</v>
      </c>
      <c r="B16" s="1">
        <v>15</v>
      </c>
      <c r="E16" s="5" t="s">
        <v>51</v>
      </c>
      <c r="F16" s="3">
        <v>34.93333333333333</v>
      </c>
      <c r="H16" s="5" t="s">
        <v>51</v>
      </c>
      <c r="I16" s="3">
        <v>4.8</v>
      </c>
      <c r="K16" s="9" t="s">
        <v>13</v>
      </c>
      <c r="L16" s="9" t="s">
        <v>16</v>
      </c>
      <c r="M16" s="9" t="s">
        <v>14</v>
      </c>
      <c r="N16" s="9" t="s">
        <v>15</v>
      </c>
      <c r="O16" s="7"/>
      <c r="P16" s="7"/>
    </row>
    <row r="17" spans="1:17" x14ac:dyDescent="0.35">
      <c r="A17" s="5" t="s">
        <v>52</v>
      </c>
      <c r="B17" s="1">
        <v>20</v>
      </c>
      <c r="E17" s="5" t="s">
        <v>52</v>
      </c>
      <c r="F17" s="3">
        <v>36.4</v>
      </c>
      <c r="H17" s="5" t="s">
        <v>52</v>
      </c>
      <c r="I17" s="3">
        <v>4.5</v>
      </c>
      <c r="K17" s="10" t="str">
        <f>K11</f>
        <v>Not Admitted</v>
      </c>
      <c r="L17" s="11">
        <f t="shared" ref="L17:M17" si="0">L11</f>
        <v>251</v>
      </c>
      <c r="M17" s="10">
        <f t="shared" si="0"/>
        <v>0.5229166666666667</v>
      </c>
      <c r="N17" s="8"/>
      <c r="O17" s="7"/>
      <c r="P17" s="7"/>
    </row>
    <row r="18" spans="1:17" x14ac:dyDescent="0.35">
      <c r="A18" s="5" t="s">
        <v>53</v>
      </c>
      <c r="B18" s="1">
        <v>20</v>
      </c>
      <c r="E18" s="5" t="s">
        <v>53</v>
      </c>
      <c r="F18" s="3">
        <v>35.549999999999997</v>
      </c>
      <c r="H18" s="5" t="s">
        <v>53</v>
      </c>
      <c r="I18" s="3">
        <v>5</v>
      </c>
      <c r="K18" s="10" t="str">
        <f>K10</f>
        <v>Admitted</v>
      </c>
      <c r="L18" s="11">
        <f>L10</f>
        <v>229</v>
      </c>
      <c r="M18" s="10">
        <f>M10</f>
        <v>0.47708333333333336</v>
      </c>
      <c r="N18" s="8"/>
      <c r="O18" s="7"/>
      <c r="P18" s="7"/>
    </row>
    <row r="19" spans="1:17" x14ac:dyDescent="0.35">
      <c r="A19" s="5" t="s">
        <v>54</v>
      </c>
      <c r="B19" s="1">
        <v>13</v>
      </c>
      <c r="E19" s="5" t="s">
        <v>54</v>
      </c>
      <c r="F19" s="3">
        <v>30.692307692307693</v>
      </c>
      <c r="H19" s="5" t="s">
        <v>54</v>
      </c>
      <c r="I19" s="3">
        <v>5.333333333333333</v>
      </c>
    </row>
    <row r="20" spans="1:17" x14ac:dyDescent="0.35">
      <c r="A20" s="5" t="s">
        <v>55</v>
      </c>
      <c r="B20" s="1">
        <v>18</v>
      </c>
      <c r="E20" s="5" t="s">
        <v>55</v>
      </c>
      <c r="F20" s="3">
        <v>33.611111111111114</v>
      </c>
      <c r="H20" s="5" t="s">
        <v>55</v>
      </c>
      <c r="I20" s="3">
        <v>4.4000000000000004</v>
      </c>
      <c r="P20" t="s">
        <v>41</v>
      </c>
    </row>
    <row r="21" spans="1:17" x14ac:dyDescent="0.35">
      <c r="A21" s="5" t="s">
        <v>56</v>
      </c>
      <c r="B21" s="1">
        <v>11</v>
      </c>
      <c r="E21" s="5" t="s">
        <v>56</v>
      </c>
      <c r="F21" s="3">
        <v>37.81818181818182</v>
      </c>
      <c r="H21" s="5" t="s">
        <v>56</v>
      </c>
      <c r="I21" s="3">
        <v>3.25</v>
      </c>
      <c r="P21" s="4" t="s">
        <v>3</v>
      </c>
      <c r="Q21" t="s">
        <v>39</v>
      </c>
    </row>
    <row r="22" spans="1:17" x14ac:dyDescent="0.35">
      <c r="A22" s="5" t="s">
        <v>57</v>
      </c>
      <c r="B22" s="1">
        <v>13</v>
      </c>
      <c r="E22" s="5" t="s">
        <v>57</v>
      </c>
      <c r="F22" s="3">
        <v>40</v>
      </c>
      <c r="H22" s="5" t="s">
        <v>57</v>
      </c>
      <c r="I22" s="3">
        <v>6</v>
      </c>
      <c r="P22" s="5" t="s">
        <v>17</v>
      </c>
      <c r="Q22" s="1">
        <v>56</v>
      </c>
    </row>
    <row r="23" spans="1:17" x14ac:dyDescent="0.35">
      <c r="A23" s="5" t="s">
        <v>58</v>
      </c>
      <c r="B23" s="1">
        <v>14</v>
      </c>
      <c r="E23" s="5" t="s">
        <v>58</v>
      </c>
      <c r="F23" s="3">
        <v>32</v>
      </c>
      <c r="H23" s="5" t="s">
        <v>58</v>
      </c>
      <c r="I23" s="3">
        <v>3.3333333333333335</v>
      </c>
      <c r="P23" s="5" t="s">
        <v>18</v>
      </c>
      <c r="Q23" s="1">
        <v>54</v>
      </c>
    </row>
    <row r="24" spans="1:17" x14ac:dyDescent="0.35">
      <c r="A24" s="5" t="s">
        <v>59</v>
      </c>
      <c r="B24" s="1">
        <v>7</v>
      </c>
      <c r="E24" s="5" t="s">
        <v>59</v>
      </c>
      <c r="F24" s="3">
        <v>31.857142857142858</v>
      </c>
      <c r="H24" s="5" t="s">
        <v>60</v>
      </c>
      <c r="I24" s="3">
        <v>6.7</v>
      </c>
      <c r="P24" s="5" t="s">
        <v>19</v>
      </c>
      <c r="Q24" s="1">
        <v>52</v>
      </c>
    </row>
    <row r="25" spans="1:17" x14ac:dyDescent="0.35">
      <c r="A25" s="5" t="s">
        <v>60</v>
      </c>
      <c r="B25" s="1">
        <v>21</v>
      </c>
      <c r="E25" s="5" t="s">
        <v>60</v>
      </c>
      <c r="F25" s="3">
        <v>31.142857142857142</v>
      </c>
      <c r="H25" s="5" t="s">
        <v>61</v>
      </c>
      <c r="I25" s="3">
        <v>7.75</v>
      </c>
      <c r="P25" s="5" t="s">
        <v>20</v>
      </c>
      <c r="Q25" s="1">
        <v>74</v>
      </c>
    </row>
    <row r="26" spans="1:17" x14ac:dyDescent="0.35">
      <c r="A26" s="5" t="s">
        <v>61</v>
      </c>
      <c r="B26" s="1">
        <v>16</v>
      </c>
      <c r="E26" s="5" t="s">
        <v>61</v>
      </c>
      <c r="F26" s="3">
        <v>29.5</v>
      </c>
      <c r="H26" s="5" t="s">
        <v>62</v>
      </c>
      <c r="I26" s="3">
        <v>5.5</v>
      </c>
      <c r="P26" s="5" t="s">
        <v>21</v>
      </c>
      <c r="Q26" s="1">
        <v>60</v>
      </c>
    </row>
    <row r="27" spans="1:17" x14ac:dyDescent="0.35">
      <c r="A27" s="5" t="s">
        <v>62</v>
      </c>
      <c r="B27" s="1">
        <v>15</v>
      </c>
      <c r="E27" s="5" t="s">
        <v>62</v>
      </c>
      <c r="F27" s="3">
        <v>30.666666666666668</v>
      </c>
      <c r="H27" s="5" t="s">
        <v>63</v>
      </c>
      <c r="I27" s="3">
        <v>4.5</v>
      </c>
      <c r="P27" s="5" t="s">
        <v>22</v>
      </c>
      <c r="Q27" s="1">
        <v>61</v>
      </c>
    </row>
    <row r="28" spans="1:17" x14ac:dyDescent="0.35">
      <c r="A28" s="5" t="s">
        <v>63</v>
      </c>
      <c r="B28" s="1">
        <v>15</v>
      </c>
      <c r="E28" s="5" t="s">
        <v>63</v>
      </c>
      <c r="F28" s="3">
        <v>39.06666666666667</v>
      </c>
      <c r="H28" s="5" t="s">
        <v>64</v>
      </c>
      <c r="I28" s="3">
        <v>6</v>
      </c>
      <c r="P28" s="5" t="s">
        <v>23</v>
      </c>
      <c r="Q28" s="1">
        <v>61</v>
      </c>
    </row>
    <row r="29" spans="1:17" x14ac:dyDescent="0.35">
      <c r="A29" s="5" t="s">
        <v>64</v>
      </c>
      <c r="B29" s="1">
        <v>14</v>
      </c>
      <c r="E29" s="5" t="s">
        <v>64</v>
      </c>
      <c r="F29" s="3">
        <v>32.857142857142854</v>
      </c>
      <c r="H29" s="5" t="s">
        <v>65</v>
      </c>
      <c r="I29" s="3">
        <v>5.75</v>
      </c>
      <c r="P29" s="5" t="s">
        <v>24</v>
      </c>
      <c r="Q29" s="1">
        <v>62</v>
      </c>
    </row>
    <row r="30" spans="1:17" x14ac:dyDescent="0.35">
      <c r="A30" s="5" t="s">
        <v>65</v>
      </c>
      <c r="B30" s="1">
        <v>16</v>
      </c>
      <c r="E30" s="5" t="s">
        <v>65</v>
      </c>
      <c r="F30" s="3">
        <v>38.3125</v>
      </c>
      <c r="H30" s="5" t="s">
        <v>66</v>
      </c>
      <c r="I30" s="3">
        <v>3.1428571428571428</v>
      </c>
    </row>
    <row r="31" spans="1:17" x14ac:dyDescent="0.35">
      <c r="A31" s="5" t="s">
        <v>66</v>
      </c>
      <c r="B31" s="1">
        <v>21</v>
      </c>
      <c r="E31" s="5" t="s">
        <v>66</v>
      </c>
      <c r="F31" s="3">
        <v>35.80952380952381</v>
      </c>
      <c r="H31" s="5" t="s">
        <v>67</v>
      </c>
      <c r="I31" s="3">
        <v>4</v>
      </c>
    </row>
    <row r="32" spans="1:17" x14ac:dyDescent="0.35">
      <c r="A32" s="5" t="s">
        <v>67</v>
      </c>
      <c r="B32" s="1">
        <v>13</v>
      </c>
      <c r="E32" s="5" t="s">
        <v>67</v>
      </c>
      <c r="F32" s="3">
        <v>33.153846153846153</v>
      </c>
      <c r="H32" s="5" t="s">
        <v>68</v>
      </c>
      <c r="I32" s="3">
        <v>6.5</v>
      </c>
      <c r="P32" s="5" t="s">
        <v>42</v>
      </c>
    </row>
    <row r="33" spans="1:17" x14ac:dyDescent="0.35">
      <c r="A33" s="5" t="s">
        <v>68</v>
      </c>
      <c r="B33" s="1">
        <v>11</v>
      </c>
      <c r="E33" s="5" t="s">
        <v>68</v>
      </c>
      <c r="F33" s="3">
        <v>39.18181818181818</v>
      </c>
      <c r="H33" s="5" t="s">
        <v>69</v>
      </c>
      <c r="I33" s="3">
        <v>4</v>
      </c>
      <c r="P33" s="4" t="s">
        <v>3</v>
      </c>
      <c r="Q33" t="s">
        <v>40</v>
      </c>
    </row>
    <row r="34" spans="1:17" x14ac:dyDescent="0.35">
      <c r="A34" s="5" t="s">
        <v>69</v>
      </c>
      <c r="B34" s="1">
        <v>16</v>
      </c>
      <c r="E34" s="5" t="s">
        <v>69</v>
      </c>
      <c r="F34" s="3">
        <v>36.3125</v>
      </c>
      <c r="H34" s="5" t="s">
        <v>70</v>
      </c>
      <c r="I34" s="3">
        <v>7.333333333333333</v>
      </c>
      <c r="P34" s="5" t="s">
        <v>32</v>
      </c>
      <c r="Q34" s="1">
        <v>6</v>
      </c>
    </row>
    <row r="35" spans="1:17" x14ac:dyDescent="0.35">
      <c r="A35" s="5" t="s">
        <v>70</v>
      </c>
      <c r="B35" s="1">
        <v>11</v>
      </c>
      <c r="E35" s="5" t="s">
        <v>70</v>
      </c>
      <c r="F35" s="3">
        <v>33</v>
      </c>
      <c r="H35" s="5" t="s">
        <v>71</v>
      </c>
      <c r="I35" s="3">
        <v>5.333333333333333</v>
      </c>
      <c r="P35" s="5" t="s">
        <v>28</v>
      </c>
      <c r="Q35" s="1">
        <v>11</v>
      </c>
    </row>
    <row r="36" spans="1:17" x14ac:dyDescent="0.35">
      <c r="A36" s="5" t="s">
        <v>71</v>
      </c>
      <c r="B36" s="1">
        <v>14</v>
      </c>
      <c r="E36" s="5" t="s">
        <v>71</v>
      </c>
      <c r="F36" s="3">
        <v>32.857142857142854</v>
      </c>
      <c r="H36" s="5" t="s">
        <v>72</v>
      </c>
      <c r="I36" s="3">
        <v>4.75</v>
      </c>
      <c r="P36" s="5" t="s">
        <v>25</v>
      </c>
      <c r="Q36" s="1">
        <v>12</v>
      </c>
    </row>
    <row r="37" spans="1:17" x14ac:dyDescent="0.35">
      <c r="A37" s="5" t="s">
        <v>72</v>
      </c>
      <c r="B37" s="1">
        <v>10</v>
      </c>
      <c r="E37" s="5" t="s">
        <v>72</v>
      </c>
      <c r="F37" s="3">
        <v>36.799999999999997</v>
      </c>
      <c r="H37" s="5" t="s">
        <v>73</v>
      </c>
      <c r="I37" s="3">
        <v>4</v>
      </c>
      <c r="P37" s="5" t="s">
        <v>26</v>
      </c>
      <c r="Q37" s="1">
        <v>12</v>
      </c>
    </row>
    <row r="38" spans="1:17" x14ac:dyDescent="0.35">
      <c r="A38" s="5" t="s">
        <v>73</v>
      </c>
      <c r="B38" s="1">
        <v>15</v>
      </c>
      <c r="E38" s="5" t="s">
        <v>73</v>
      </c>
      <c r="F38" s="3">
        <v>32.866666666666667</v>
      </c>
      <c r="H38" s="5" t="s">
        <v>74</v>
      </c>
      <c r="I38" s="3">
        <v>4</v>
      </c>
      <c r="P38" s="5" t="s">
        <v>31</v>
      </c>
      <c r="Q38" s="1">
        <v>20</v>
      </c>
    </row>
    <row r="39" spans="1:17" x14ac:dyDescent="0.35">
      <c r="A39" s="5" t="s">
        <v>74</v>
      </c>
      <c r="B39" s="1">
        <v>24</v>
      </c>
      <c r="E39" s="5" t="s">
        <v>74</v>
      </c>
      <c r="F39" s="3">
        <v>32.375</v>
      </c>
      <c r="H39" s="5" t="s">
        <v>75</v>
      </c>
      <c r="I39" s="3">
        <v>8.3333333333333339</v>
      </c>
      <c r="P39" s="5" t="s">
        <v>30</v>
      </c>
      <c r="Q39" s="1">
        <v>35</v>
      </c>
    </row>
    <row r="40" spans="1:17" x14ac:dyDescent="0.35">
      <c r="A40" s="5" t="s">
        <v>75</v>
      </c>
      <c r="B40" s="1">
        <v>11</v>
      </c>
      <c r="E40" s="5" t="s">
        <v>75</v>
      </c>
      <c r="F40" s="3">
        <v>36</v>
      </c>
      <c r="H40" s="5" t="s">
        <v>4</v>
      </c>
      <c r="I40" s="1">
        <v>5.1640625</v>
      </c>
      <c r="P40" s="5" t="s">
        <v>27</v>
      </c>
      <c r="Q40" s="1">
        <v>93</v>
      </c>
    </row>
    <row r="41" spans="1:17" x14ac:dyDescent="0.35">
      <c r="A41" s="5" t="s">
        <v>4</v>
      </c>
      <c r="B41" s="1">
        <v>480</v>
      </c>
      <c r="E41" s="5" t="s">
        <v>4</v>
      </c>
      <c r="F41" s="1">
        <v>34.429166666666667</v>
      </c>
      <c r="P41" s="5" t="s">
        <v>29</v>
      </c>
      <c r="Q41" s="1">
        <v>291</v>
      </c>
    </row>
    <row r="44" spans="1:17" x14ac:dyDescent="0.35">
      <c r="P44" s="5" t="s">
        <v>43</v>
      </c>
    </row>
    <row r="45" spans="1:17" x14ac:dyDescent="0.35">
      <c r="P45" s="4" t="s">
        <v>3</v>
      </c>
      <c r="Q45" t="s">
        <v>38</v>
      </c>
    </row>
    <row r="46" spans="1:17" x14ac:dyDescent="0.35">
      <c r="P46" s="5" t="s">
        <v>33</v>
      </c>
      <c r="Q46" s="1">
        <v>267</v>
      </c>
    </row>
    <row r="47" spans="1:17" x14ac:dyDescent="0.35">
      <c r="P47" s="5" t="s">
        <v>34</v>
      </c>
      <c r="Q47" s="1">
        <v>213</v>
      </c>
    </row>
    <row r="50" spans="16:17" x14ac:dyDescent="0.35">
      <c r="P50" t="s">
        <v>44</v>
      </c>
    </row>
    <row r="51" spans="16:17" x14ac:dyDescent="0.35">
      <c r="P51" s="4" t="s">
        <v>3</v>
      </c>
      <c r="Q51" t="s">
        <v>37</v>
      </c>
    </row>
    <row r="52" spans="16:17" x14ac:dyDescent="0.35">
      <c r="P52" s="5" t="s">
        <v>35</v>
      </c>
      <c r="Q52" s="1">
        <v>261</v>
      </c>
    </row>
    <row r="53" spans="16:17" x14ac:dyDescent="0.35">
      <c r="P53" s="5" t="s">
        <v>36</v>
      </c>
      <c r="Q53" s="1">
        <v>219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9266-0B99-4647-81A3-C93487B2244E}">
  <dimension ref="A1:N18"/>
  <sheetViews>
    <sheetView showGridLines="0" showRowColHeaders="0" zoomScale="130" zoomScaleNormal="130" workbookViewId="0">
      <selection activeCell="I22" sqref="I22"/>
    </sheetView>
  </sheetViews>
  <sheetFormatPr defaultRowHeight="14.5" x14ac:dyDescent="0.35"/>
  <cols>
    <col min="2" max="3" width="8.7265625" customWidth="1"/>
  </cols>
  <sheetData>
    <row r="1" spans="1:14" x14ac:dyDescent="0.35">
      <c r="A1" s="2"/>
      <c r="B1" s="2"/>
      <c r="C1" s="2"/>
      <c r="D1" s="2"/>
      <c r="E1" s="2"/>
      <c r="F1" s="2"/>
      <c r="G1" s="2"/>
      <c r="H1" s="2"/>
      <c r="I1" s="2"/>
      <c r="J1" s="2"/>
      <c r="K1" s="2"/>
      <c r="L1" s="2"/>
      <c r="M1" s="2"/>
      <c r="N1" s="2"/>
    </row>
    <row r="2" spans="1:14" x14ac:dyDescent="0.35">
      <c r="A2" s="2"/>
      <c r="B2" s="2"/>
      <c r="C2" s="2"/>
      <c r="D2" s="2"/>
      <c r="E2" s="2"/>
      <c r="F2" s="2"/>
      <c r="G2" s="2"/>
      <c r="H2" s="2"/>
      <c r="I2" s="2"/>
      <c r="J2" s="2"/>
      <c r="K2" s="2"/>
      <c r="L2" s="2"/>
      <c r="M2" s="2"/>
      <c r="N2" s="2"/>
    </row>
    <row r="3" spans="1:14" x14ac:dyDescent="0.35">
      <c r="A3" s="2"/>
      <c r="B3" s="2"/>
      <c r="C3" s="2"/>
      <c r="D3" s="2"/>
      <c r="E3" s="2"/>
      <c r="F3" s="2"/>
      <c r="G3" s="2"/>
      <c r="H3" s="2"/>
      <c r="I3" s="2"/>
      <c r="J3" s="2"/>
      <c r="K3" s="2"/>
      <c r="L3" s="2"/>
      <c r="M3" s="2"/>
      <c r="N3" s="2"/>
    </row>
    <row r="4" spans="1:14" x14ac:dyDescent="0.35">
      <c r="A4" s="2"/>
      <c r="B4" s="2"/>
      <c r="C4" s="2"/>
      <c r="D4" s="2"/>
      <c r="E4" s="2"/>
      <c r="F4" s="2"/>
      <c r="G4" s="2"/>
      <c r="H4" s="2"/>
      <c r="I4" s="2"/>
      <c r="J4" s="2"/>
      <c r="K4" s="2"/>
      <c r="L4" s="2"/>
      <c r="M4" s="2"/>
      <c r="N4" s="2"/>
    </row>
    <row r="5" spans="1:14" x14ac:dyDescent="0.35">
      <c r="A5" s="2"/>
      <c r="B5" s="2"/>
      <c r="C5" s="2"/>
      <c r="D5" s="2"/>
      <c r="E5" s="2"/>
      <c r="F5" s="2"/>
      <c r="G5" s="2"/>
      <c r="H5" s="2"/>
      <c r="I5" s="2"/>
      <c r="J5" s="2"/>
      <c r="K5" s="2"/>
      <c r="L5" s="2"/>
      <c r="M5" s="2"/>
      <c r="N5" s="2"/>
    </row>
    <row r="6" spans="1:14" x14ac:dyDescent="0.35">
      <c r="A6" s="2"/>
      <c r="B6" s="2"/>
      <c r="C6" s="2"/>
      <c r="D6" s="2"/>
      <c r="E6" s="2"/>
      <c r="F6" s="2"/>
      <c r="G6" s="2"/>
      <c r="H6" s="2"/>
      <c r="I6" s="2"/>
      <c r="J6" s="2"/>
      <c r="K6" s="2"/>
      <c r="L6" s="2"/>
      <c r="M6" s="2"/>
      <c r="N6" s="2"/>
    </row>
    <row r="7" spans="1:14" x14ac:dyDescent="0.35">
      <c r="A7" s="2"/>
      <c r="B7" s="2"/>
      <c r="C7" s="2"/>
      <c r="D7" s="2"/>
      <c r="E7" s="2"/>
      <c r="F7" s="2"/>
      <c r="G7" s="2"/>
      <c r="H7" s="2"/>
      <c r="I7" s="2"/>
      <c r="J7" s="2"/>
      <c r="K7" s="2"/>
      <c r="L7" s="2"/>
      <c r="M7" s="2"/>
      <c r="N7" s="2"/>
    </row>
    <row r="8" spans="1:14" x14ac:dyDescent="0.35">
      <c r="A8" s="2"/>
      <c r="B8" s="2"/>
      <c r="C8" s="2"/>
      <c r="D8" s="2"/>
      <c r="E8" s="2"/>
      <c r="F8" s="2"/>
      <c r="G8" s="2"/>
      <c r="H8" s="2"/>
      <c r="I8" s="2"/>
      <c r="J8" s="2"/>
      <c r="K8" s="2"/>
      <c r="L8" s="2"/>
      <c r="M8" s="2"/>
      <c r="N8" s="2"/>
    </row>
    <row r="9" spans="1:14" x14ac:dyDescent="0.35">
      <c r="A9" s="2"/>
      <c r="B9" s="2"/>
      <c r="C9" s="2"/>
      <c r="D9" s="2"/>
      <c r="E9" s="2"/>
      <c r="F9" s="2"/>
      <c r="G9" s="2"/>
      <c r="H9" s="2"/>
      <c r="I9" s="2"/>
      <c r="J9" s="2"/>
      <c r="K9" s="2"/>
      <c r="L9" s="2"/>
      <c r="M9" s="2"/>
      <c r="N9" s="2"/>
    </row>
    <row r="10" spans="1:14" x14ac:dyDescent="0.35">
      <c r="A10" s="2"/>
      <c r="B10" s="2"/>
      <c r="C10" s="2"/>
      <c r="D10" s="2"/>
      <c r="E10" s="2"/>
      <c r="F10" s="2"/>
      <c r="G10" s="2"/>
      <c r="H10" s="2"/>
      <c r="I10" s="2"/>
      <c r="J10" s="2"/>
      <c r="K10" s="2"/>
      <c r="L10" s="2"/>
      <c r="M10" s="2"/>
      <c r="N10" s="2"/>
    </row>
    <row r="11" spans="1:14" x14ac:dyDescent="0.35">
      <c r="A11" s="2"/>
      <c r="B11" s="2"/>
      <c r="C11" s="2"/>
      <c r="D11" s="2"/>
      <c r="E11" s="2"/>
      <c r="F11" s="2"/>
      <c r="G11" s="2"/>
      <c r="H11" s="2"/>
      <c r="I11" s="2"/>
      <c r="J11" s="2"/>
      <c r="K11" s="2"/>
      <c r="L11" s="2"/>
      <c r="M11" s="2"/>
      <c r="N11" s="2"/>
    </row>
    <row r="12" spans="1:14" x14ac:dyDescent="0.35">
      <c r="A12" s="2"/>
      <c r="B12" s="2"/>
      <c r="C12" s="2"/>
      <c r="D12" s="2"/>
      <c r="E12" s="2"/>
      <c r="F12" s="2"/>
      <c r="G12" s="2"/>
      <c r="H12" s="2"/>
      <c r="I12" s="2"/>
      <c r="J12" s="2"/>
      <c r="K12" s="2"/>
      <c r="L12" s="2"/>
      <c r="M12" s="2"/>
      <c r="N12" s="2"/>
    </row>
    <row r="13" spans="1:14" x14ac:dyDescent="0.35">
      <c r="A13" s="2"/>
      <c r="B13" s="2"/>
      <c r="C13" s="2"/>
      <c r="D13" s="2"/>
      <c r="E13" s="2"/>
      <c r="F13" s="2"/>
      <c r="G13" s="2"/>
      <c r="H13" s="2"/>
      <c r="I13" s="2"/>
      <c r="J13" s="2"/>
      <c r="K13" s="2"/>
      <c r="L13" s="2"/>
      <c r="M13" s="2"/>
      <c r="N13" s="2"/>
    </row>
    <row r="14" spans="1:14" x14ac:dyDescent="0.35">
      <c r="A14" s="2"/>
      <c r="B14" s="2"/>
      <c r="C14" s="2"/>
      <c r="D14" s="2"/>
      <c r="E14" s="2"/>
      <c r="F14" s="2"/>
      <c r="G14" s="2"/>
      <c r="H14" s="2"/>
      <c r="I14" s="2"/>
      <c r="J14" s="2"/>
      <c r="K14" s="2"/>
      <c r="L14" s="2"/>
      <c r="M14" s="2"/>
      <c r="N14" s="2"/>
    </row>
    <row r="15" spans="1:14" x14ac:dyDescent="0.35">
      <c r="A15" s="2"/>
      <c r="B15" s="2"/>
      <c r="C15" s="2"/>
      <c r="D15" s="2"/>
      <c r="E15" s="2"/>
      <c r="F15" s="2"/>
      <c r="G15" s="2"/>
      <c r="H15" s="2"/>
      <c r="I15" s="2"/>
      <c r="J15" s="2"/>
      <c r="K15" s="2"/>
      <c r="L15" s="2"/>
      <c r="M15" s="2"/>
      <c r="N15" s="2"/>
    </row>
    <row r="16" spans="1:14" x14ac:dyDescent="0.35">
      <c r="A16" s="2"/>
      <c r="B16" s="2"/>
      <c r="C16" s="2"/>
      <c r="D16" s="2"/>
      <c r="E16" s="2"/>
      <c r="F16" s="2"/>
      <c r="G16" s="2"/>
      <c r="H16" s="2"/>
      <c r="I16" s="2"/>
      <c r="J16" s="2"/>
      <c r="K16" s="2"/>
      <c r="L16" s="2"/>
      <c r="M16" s="2"/>
      <c r="N16" s="2"/>
    </row>
    <row r="17" spans="1:14" x14ac:dyDescent="0.35">
      <c r="A17" s="2"/>
      <c r="B17" s="2"/>
      <c r="C17" s="2"/>
      <c r="D17" s="2"/>
      <c r="E17" s="2"/>
      <c r="F17" s="2"/>
      <c r="G17" s="2"/>
      <c r="H17" s="2"/>
      <c r="I17" s="2"/>
      <c r="J17" s="2"/>
      <c r="K17" s="2"/>
      <c r="L17" s="2"/>
      <c r="M17" s="2"/>
      <c r="N17" s="2"/>
    </row>
    <row r="18" spans="1:14" x14ac:dyDescent="0.35">
      <c r="A18" s="2"/>
      <c r="B18" s="2"/>
      <c r="C18" s="2"/>
      <c r="D18" s="2"/>
      <c r="E18" s="2"/>
      <c r="F18" s="2"/>
      <c r="G18" s="2"/>
      <c r="H18" s="2"/>
      <c r="I18" s="2"/>
      <c r="J18" s="2"/>
      <c r="K18" s="2"/>
      <c r="L18" s="2"/>
      <c r="M18" s="2"/>
      <c r="N18"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E633B-7BC3-4AE3-8635-AAB417BC6A6B}">
  <dimension ref="A1:N23"/>
  <sheetViews>
    <sheetView workbookViewId="0"/>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row r="21" spans="1:14" x14ac:dyDescent="0.35">
      <c r="A21" s="6"/>
      <c r="B21" s="6"/>
      <c r="C21" s="6"/>
      <c r="D21" s="6"/>
      <c r="E21" s="6"/>
      <c r="F21" s="6"/>
      <c r="G21" s="6"/>
      <c r="H21" s="6"/>
      <c r="I21" s="6"/>
      <c r="J21" s="6"/>
      <c r="K21" s="6"/>
      <c r="L21" s="6"/>
      <c r="M21" s="6"/>
      <c r="N21" s="6"/>
    </row>
    <row r="22" spans="1:14" x14ac:dyDescent="0.35">
      <c r="A22" s="6"/>
      <c r="B22" s="6"/>
      <c r="C22" s="6"/>
      <c r="D22" s="6"/>
      <c r="E22" s="6"/>
      <c r="F22" s="6"/>
      <c r="G22" s="6"/>
      <c r="H22" s="6"/>
      <c r="I22" s="6"/>
      <c r="J22" s="6"/>
      <c r="K22" s="6"/>
      <c r="L22" s="6"/>
      <c r="M22" s="6"/>
      <c r="N22" s="6"/>
    </row>
    <row r="23" spans="1:14" x14ac:dyDescent="0.35">
      <c r="A23" s="6"/>
      <c r="B23" s="6"/>
      <c r="C23" s="6"/>
      <c r="D23" s="6"/>
      <c r="E23" s="6"/>
      <c r="F23" s="6"/>
      <c r="G23" s="6"/>
      <c r="H23" s="6"/>
      <c r="I23" s="6"/>
      <c r="J23" s="6"/>
      <c r="K23" s="6"/>
      <c r="L23" s="6"/>
      <c r="M23" s="6"/>
      <c r="N2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A8BB-CB1F-4EA8-80B0-6AC307AE9678}">
  <dimension ref="A1:N22"/>
  <sheetViews>
    <sheetView workbookViewId="0"/>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row r="21" spans="1:14" x14ac:dyDescent="0.35">
      <c r="A21" s="6"/>
      <c r="B21" s="6"/>
      <c r="C21" s="6"/>
      <c r="D21" s="6"/>
      <c r="E21" s="6"/>
      <c r="F21" s="6"/>
      <c r="G21" s="6"/>
      <c r="H21" s="6"/>
      <c r="I21" s="6"/>
      <c r="J21" s="6"/>
      <c r="K21" s="6"/>
      <c r="L21" s="6"/>
      <c r="M21" s="6"/>
      <c r="N21" s="6"/>
    </row>
    <row r="22" spans="1:14" x14ac:dyDescent="0.35">
      <c r="A22" s="6"/>
      <c r="B22" s="6"/>
      <c r="C22" s="6"/>
      <c r="D22" s="6"/>
      <c r="E22" s="6"/>
      <c r="F22" s="6"/>
      <c r="G22" s="6"/>
      <c r="H22" s="6"/>
      <c r="I22" s="6"/>
      <c r="J22" s="6"/>
      <c r="K22" s="6"/>
      <c r="L22" s="6"/>
      <c r="M22" s="6"/>
      <c r="N2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85B7-1E51-4E1A-B315-46693D88E8AD}">
  <dimension ref="A1:Q20"/>
  <sheetViews>
    <sheetView workbookViewId="0"/>
  </sheetViews>
  <sheetFormatPr defaultRowHeight="14.5" x14ac:dyDescent="0.35"/>
  <sheetData>
    <row r="1" spans="1:17" x14ac:dyDescent="0.35">
      <c r="A1" s="6"/>
      <c r="B1" s="6"/>
      <c r="C1" s="6"/>
      <c r="D1" s="6"/>
      <c r="E1" s="6"/>
      <c r="F1" s="6"/>
      <c r="G1" s="6"/>
      <c r="H1" s="6"/>
      <c r="I1" s="6"/>
      <c r="J1" s="6"/>
      <c r="K1" s="6"/>
      <c r="L1" s="6"/>
      <c r="M1" s="6"/>
      <c r="N1" s="6"/>
      <c r="O1" s="6"/>
      <c r="P1" s="6"/>
      <c r="Q1" s="6"/>
    </row>
    <row r="2" spans="1:17" x14ac:dyDescent="0.35">
      <c r="A2" s="6"/>
      <c r="B2" s="6"/>
      <c r="C2" s="6"/>
      <c r="D2" s="6"/>
      <c r="E2" s="6"/>
      <c r="F2" s="6"/>
      <c r="G2" s="6"/>
      <c r="H2" s="6"/>
      <c r="I2" s="6"/>
      <c r="J2" s="6"/>
      <c r="K2" s="6"/>
      <c r="L2" s="6"/>
      <c r="M2" s="6"/>
      <c r="N2" s="6"/>
      <c r="O2" s="6"/>
      <c r="P2" s="6"/>
      <c r="Q2" s="6"/>
    </row>
    <row r="3" spans="1:17" x14ac:dyDescent="0.35">
      <c r="A3" s="6"/>
      <c r="B3" s="6"/>
      <c r="C3" s="6"/>
      <c r="D3" s="6"/>
      <c r="E3" s="6"/>
      <c r="F3" s="6"/>
      <c r="G3" s="6"/>
      <c r="H3" s="6"/>
      <c r="I3" s="6"/>
      <c r="J3" s="6"/>
      <c r="K3" s="6"/>
      <c r="L3" s="6"/>
      <c r="M3" s="6"/>
      <c r="N3" s="6"/>
      <c r="O3" s="6"/>
      <c r="P3" s="6"/>
      <c r="Q3" s="6"/>
    </row>
    <row r="4" spans="1:17" x14ac:dyDescent="0.35">
      <c r="A4" s="6"/>
      <c r="B4" s="6"/>
      <c r="C4" s="6"/>
      <c r="D4" s="6"/>
      <c r="E4" s="6"/>
      <c r="F4" s="6"/>
      <c r="G4" s="6"/>
      <c r="H4" s="6"/>
      <c r="I4" s="6"/>
      <c r="J4" s="6"/>
      <c r="K4" s="6"/>
      <c r="L4" s="6"/>
      <c r="M4" s="6"/>
      <c r="N4" s="6"/>
      <c r="O4" s="6"/>
      <c r="P4" s="6"/>
      <c r="Q4" s="6"/>
    </row>
    <row r="5" spans="1:17" x14ac:dyDescent="0.35">
      <c r="A5" s="6"/>
      <c r="B5" s="6"/>
      <c r="C5" s="6"/>
      <c r="D5" s="6"/>
      <c r="E5" s="6"/>
      <c r="F5" s="6"/>
      <c r="G5" s="6"/>
      <c r="H5" s="6"/>
      <c r="I5" s="6"/>
      <c r="J5" s="6"/>
      <c r="K5" s="6"/>
      <c r="L5" s="6"/>
      <c r="M5" s="6"/>
      <c r="N5" s="6"/>
      <c r="O5" s="6"/>
      <c r="P5" s="6"/>
      <c r="Q5" s="6"/>
    </row>
    <row r="6" spans="1:17" x14ac:dyDescent="0.35">
      <c r="A6" s="6"/>
      <c r="B6" s="6"/>
      <c r="C6" s="6"/>
      <c r="D6" s="6"/>
      <c r="E6" s="6"/>
      <c r="F6" s="6"/>
      <c r="G6" s="6"/>
      <c r="H6" s="6"/>
      <c r="I6" s="6"/>
      <c r="J6" s="6"/>
      <c r="K6" s="6"/>
      <c r="L6" s="6"/>
      <c r="M6" s="6"/>
      <c r="N6" s="6"/>
      <c r="O6" s="6"/>
      <c r="P6" s="6"/>
      <c r="Q6" s="6"/>
    </row>
    <row r="7" spans="1:17" x14ac:dyDescent="0.35">
      <c r="A7" s="6"/>
      <c r="B7" s="6"/>
      <c r="C7" s="6"/>
      <c r="D7" s="6"/>
      <c r="E7" s="6"/>
      <c r="F7" s="6"/>
      <c r="G7" s="6"/>
      <c r="H7" s="6"/>
      <c r="I7" s="6"/>
      <c r="J7" s="6"/>
      <c r="K7" s="6"/>
      <c r="L7" s="6"/>
      <c r="M7" s="6"/>
      <c r="N7" s="6"/>
      <c r="O7" s="6"/>
      <c r="P7" s="6"/>
      <c r="Q7" s="6"/>
    </row>
    <row r="8" spans="1:17" x14ac:dyDescent="0.35">
      <c r="A8" s="6"/>
      <c r="B8" s="6"/>
      <c r="C8" s="6"/>
      <c r="D8" s="6"/>
      <c r="E8" s="6"/>
      <c r="F8" s="6"/>
      <c r="G8" s="6"/>
      <c r="H8" s="6"/>
      <c r="I8" s="6"/>
      <c r="J8" s="6"/>
      <c r="K8" s="6"/>
      <c r="L8" s="6"/>
      <c r="M8" s="6"/>
      <c r="N8" s="6"/>
      <c r="O8" s="6"/>
      <c r="P8" s="6"/>
      <c r="Q8" s="6"/>
    </row>
    <row r="9" spans="1:17" x14ac:dyDescent="0.35">
      <c r="A9" s="6"/>
      <c r="B9" s="6"/>
      <c r="C9" s="6"/>
      <c r="D9" s="6"/>
      <c r="E9" s="6"/>
      <c r="F9" s="6"/>
      <c r="G9" s="6"/>
      <c r="H9" s="6"/>
      <c r="I9" s="6"/>
      <c r="J9" s="6"/>
      <c r="K9" s="6"/>
      <c r="L9" s="6"/>
      <c r="M9" s="6"/>
      <c r="N9" s="6"/>
      <c r="O9" s="6"/>
      <c r="P9" s="6"/>
      <c r="Q9" s="6"/>
    </row>
    <row r="10" spans="1:17" x14ac:dyDescent="0.35">
      <c r="A10" s="6"/>
      <c r="B10" s="6"/>
      <c r="C10" s="6"/>
      <c r="D10" s="6"/>
      <c r="E10" s="6"/>
      <c r="F10" s="6"/>
      <c r="G10" s="6"/>
      <c r="H10" s="6"/>
      <c r="I10" s="6"/>
      <c r="J10" s="6"/>
      <c r="K10" s="6"/>
      <c r="L10" s="6"/>
      <c r="M10" s="6"/>
      <c r="N10" s="6"/>
      <c r="O10" s="6"/>
      <c r="P10" s="6"/>
      <c r="Q10" s="6"/>
    </row>
    <row r="11" spans="1:17" x14ac:dyDescent="0.35">
      <c r="A11" s="6"/>
      <c r="B11" s="6"/>
      <c r="C11" s="6"/>
      <c r="D11" s="6"/>
      <c r="E11" s="6"/>
      <c r="F11" s="6"/>
      <c r="G11" s="6"/>
      <c r="H11" s="6"/>
      <c r="I11" s="6"/>
      <c r="J11" s="6"/>
      <c r="K11" s="6"/>
      <c r="L11" s="6"/>
      <c r="M11" s="6"/>
      <c r="N11" s="6"/>
      <c r="O11" s="6"/>
      <c r="P11" s="6"/>
      <c r="Q11" s="6"/>
    </row>
    <row r="12" spans="1:17" x14ac:dyDescent="0.35">
      <c r="A12" s="6"/>
      <c r="B12" s="6"/>
      <c r="C12" s="6"/>
      <c r="D12" s="6"/>
      <c r="E12" s="6"/>
      <c r="F12" s="6"/>
      <c r="G12" s="6"/>
      <c r="H12" s="6"/>
      <c r="I12" s="6"/>
      <c r="J12" s="6"/>
      <c r="K12" s="6"/>
      <c r="L12" s="6"/>
      <c r="M12" s="6"/>
      <c r="N12" s="6"/>
      <c r="O12" s="6"/>
      <c r="P12" s="6"/>
      <c r="Q12" s="6"/>
    </row>
    <row r="13" spans="1:17" x14ac:dyDescent="0.35">
      <c r="A13" s="6"/>
      <c r="B13" s="6"/>
      <c r="C13" s="6"/>
      <c r="D13" s="6"/>
      <c r="E13" s="6"/>
      <c r="F13" s="6"/>
      <c r="G13" s="6"/>
      <c r="H13" s="6"/>
      <c r="I13" s="6"/>
      <c r="J13" s="6"/>
      <c r="K13" s="6"/>
      <c r="L13" s="6"/>
      <c r="M13" s="6"/>
      <c r="N13" s="6"/>
      <c r="O13" s="6"/>
      <c r="P13" s="6"/>
      <c r="Q13" s="6"/>
    </row>
    <row r="14" spans="1:17" x14ac:dyDescent="0.35">
      <c r="A14" s="6"/>
      <c r="B14" s="6"/>
      <c r="C14" s="6"/>
      <c r="D14" s="6"/>
      <c r="E14" s="6"/>
      <c r="F14" s="6"/>
      <c r="G14" s="6"/>
      <c r="H14" s="6"/>
      <c r="I14" s="6"/>
      <c r="J14" s="6"/>
      <c r="K14" s="6"/>
      <c r="L14" s="6"/>
      <c r="M14" s="6"/>
      <c r="N14" s="6"/>
      <c r="O14" s="6"/>
      <c r="P14" s="6"/>
      <c r="Q14" s="6"/>
    </row>
    <row r="15" spans="1:17" x14ac:dyDescent="0.35">
      <c r="A15" s="6"/>
      <c r="B15" s="6"/>
      <c r="C15" s="6"/>
      <c r="D15" s="6"/>
      <c r="E15" s="6"/>
      <c r="F15" s="6"/>
      <c r="G15" s="6"/>
      <c r="H15" s="6"/>
      <c r="I15" s="6"/>
      <c r="J15" s="6"/>
      <c r="K15" s="6"/>
      <c r="L15" s="6"/>
      <c r="M15" s="6"/>
      <c r="N15" s="6"/>
      <c r="O15" s="6"/>
      <c r="P15" s="6"/>
      <c r="Q15" s="6"/>
    </row>
    <row r="16" spans="1:17" x14ac:dyDescent="0.35">
      <c r="A16" s="6"/>
      <c r="B16" s="6"/>
      <c r="C16" s="6"/>
      <c r="D16" s="6"/>
      <c r="E16" s="6"/>
      <c r="F16" s="6"/>
      <c r="G16" s="6"/>
      <c r="H16" s="6"/>
      <c r="I16" s="6"/>
      <c r="J16" s="6"/>
      <c r="K16" s="6"/>
      <c r="L16" s="6"/>
      <c r="M16" s="6"/>
      <c r="N16" s="6"/>
      <c r="O16" s="6"/>
      <c r="P16" s="6"/>
      <c r="Q16" s="6"/>
    </row>
    <row r="17" spans="1:17" x14ac:dyDescent="0.35">
      <c r="A17" s="6"/>
      <c r="B17" s="6"/>
      <c r="C17" s="6"/>
      <c r="D17" s="6"/>
      <c r="E17" s="6"/>
      <c r="F17" s="6"/>
      <c r="G17" s="6"/>
      <c r="H17" s="6"/>
      <c r="I17" s="6"/>
      <c r="J17" s="6"/>
      <c r="K17" s="6"/>
      <c r="L17" s="6"/>
      <c r="M17" s="6"/>
      <c r="N17" s="6"/>
      <c r="O17" s="6"/>
      <c r="P17" s="6"/>
      <c r="Q17" s="6"/>
    </row>
    <row r="18" spans="1:17" x14ac:dyDescent="0.35">
      <c r="A18" s="6"/>
      <c r="B18" s="6"/>
      <c r="C18" s="6"/>
      <c r="D18" s="6"/>
      <c r="E18" s="6"/>
      <c r="F18" s="6"/>
      <c r="G18" s="6"/>
      <c r="H18" s="6"/>
      <c r="I18" s="6"/>
      <c r="J18" s="6"/>
      <c r="K18" s="6"/>
      <c r="L18" s="6"/>
      <c r="M18" s="6"/>
      <c r="N18" s="6"/>
      <c r="O18" s="6"/>
      <c r="P18" s="6"/>
      <c r="Q18" s="6"/>
    </row>
    <row r="19" spans="1:17" x14ac:dyDescent="0.35">
      <c r="A19" s="6"/>
      <c r="B19" s="6"/>
      <c r="C19" s="6"/>
      <c r="D19" s="6"/>
      <c r="E19" s="6"/>
      <c r="F19" s="6"/>
      <c r="G19" s="6"/>
      <c r="H19" s="6"/>
      <c r="I19" s="6"/>
      <c r="J19" s="6"/>
      <c r="K19" s="6"/>
      <c r="L19" s="6"/>
      <c r="M19" s="6"/>
      <c r="N19" s="6"/>
      <c r="O19" s="6"/>
      <c r="P19" s="6"/>
      <c r="Q19" s="6"/>
    </row>
    <row r="20" spans="1:17" x14ac:dyDescent="0.35">
      <c r="A20" s="6"/>
      <c r="B20" s="6"/>
      <c r="C20" s="6"/>
      <c r="D20" s="6"/>
      <c r="E20" s="6"/>
      <c r="F20" s="6"/>
      <c r="G20" s="6"/>
      <c r="H20" s="6"/>
      <c r="I20" s="6"/>
      <c r="J20" s="6"/>
      <c r="K20" s="6"/>
      <c r="L20" s="6"/>
      <c r="M20" s="6"/>
      <c r="N20" s="6"/>
      <c r="O20" s="6"/>
      <c r="P20" s="6"/>
      <c r="Q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CD91DA1-A17C-462D-9353-622D6A1333A9}">
  <ds:schemaRefs/>
</ds:datastoreItem>
</file>

<file path=customXml/itemProps2.xml><?xml version="1.0" encoding="utf-8"?>
<ds:datastoreItem xmlns:ds="http://schemas.openxmlformats.org/officeDocument/2006/customXml" ds:itemID="{C01BDFD5-376F-4694-9597-3B90354B30E3}">
  <ds:schemaRefs/>
</ds:datastoreItem>
</file>

<file path=customXml/itemProps3.xml><?xml version="1.0" encoding="utf-8"?>
<ds:datastoreItem xmlns:ds="http://schemas.openxmlformats.org/officeDocument/2006/customXml" ds:itemID="{7F7FAA3B-BFFA-46B7-8C8B-3ADC5FA4C7A4}">
  <ds:schemaRefs/>
</ds:datastoreItem>
</file>

<file path=customXml/itemProps4.xml><?xml version="1.0" encoding="utf-8"?>
<ds:datastoreItem xmlns:ds="http://schemas.openxmlformats.org/officeDocument/2006/customXml" ds:itemID="{C6280D18-960F-460A-B98B-FB2B46A5A251}">
  <ds:schemaRefs/>
</ds:datastoreItem>
</file>

<file path=customXml/itemProps5.xml><?xml version="1.0" encoding="utf-8"?>
<ds:datastoreItem xmlns:ds="http://schemas.openxmlformats.org/officeDocument/2006/customXml" ds:itemID="{4D41F788-F3C2-4D7E-B770-E8F78B6B9386}">
  <ds:schemaRefs>
    <ds:schemaRef ds:uri="http://schemas.microsoft.com/DataMashup"/>
  </ds:schemaRefs>
</ds:datastoreItem>
</file>

<file path=customXml/itemProps6.xml><?xml version="1.0" encoding="utf-8"?>
<ds:datastoreItem xmlns:ds="http://schemas.openxmlformats.org/officeDocument/2006/customXml" ds:itemID="{DB84390A-C514-4B05-B21E-B7D5EAA6E8D9}">
  <ds:schemaRefs/>
</ds:datastoreItem>
</file>

<file path=customXml/itemProps7.xml><?xml version="1.0" encoding="utf-8"?>
<ds:datastoreItem xmlns:ds="http://schemas.openxmlformats.org/officeDocument/2006/customXml" ds:itemID="{7BC81FD7-4B99-4A04-8F99-2A218D039012}">
  <ds:schemaRefs/>
</ds:datastoreItem>
</file>

<file path=customXml/itemProps8.xml><?xml version="1.0" encoding="utf-8"?>
<ds:datastoreItem xmlns:ds="http://schemas.openxmlformats.org/officeDocument/2006/customXml" ds:itemID="{23F9765B-74FD-498A-A126-13AEE1EFC22D}">
  <ds:schemaRefs/>
</ds:datastoreItem>
</file>

<file path=customXml/itemProps9.xml><?xml version="1.0" encoding="utf-8"?>
<ds:datastoreItem xmlns:ds="http://schemas.openxmlformats.org/officeDocument/2006/customXml" ds:itemID="{A4B8230E-E354-4B1A-B46B-537F6931B73C}">
  <ds:schemaRefs/>
</ds:datastoreItem>
</file>

<file path=customXml/itemProps10.xml><?xml version="1.0" encoding="utf-8"?>
<ds:datastoreItem xmlns:ds="http://schemas.openxmlformats.org/officeDocument/2006/customXml" ds:itemID="{1A88F11E-C85E-40BF-BE01-C259C2C955E1}">
  <ds:schemaRefs/>
</ds:datastoreItem>
</file>

<file path=customXml/itemProps11.xml><?xml version="1.0" encoding="utf-8"?>
<ds:datastoreItem xmlns:ds="http://schemas.openxmlformats.org/officeDocument/2006/customXml" ds:itemID="{159FB691-7455-473C-9E41-9A3F5AA2AAEA}">
  <ds:schemaRefs/>
</ds:datastoreItem>
</file>

<file path=customXml/itemProps12.xml><?xml version="1.0" encoding="utf-8"?>
<ds:datastoreItem xmlns:ds="http://schemas.openxmlformats.org/officeDocument/2006/customXml" ds:itemID="{2610D909-96AD-418E-B429-8D5E64309234}">
  <ds:schemaRefs/>
</ds:datastoreItem>
</file>

<file path=customXml/itemProps13.xml><?xml version="1.0" encoding="utf-8"?>
<ds:datastoreItem xmlns:ds="http://schemas.openxmlformats.org/officeDocument/2006/customXml" ds:itemID="{EB149C4D-D7C1-4A35-AFCE-147109673053}">
  <ds:schemaRefs/>
</ds:datastoreItem>
</file>

<file path=customXml/itemProps14.xml><?xml version="1.0" encoding="utf-8"?>
<ds:datastoreItem xmlns:ds="http://schemas.openxmlformats.org/officeDocument/2006/customXml" ds:itemID="{B70179F2-4AD8-47A6-9188-0F2A5996ED35}">
  <ds:schemaRefs/>
</ds:datastoreItem>
</file>

<file path=customXml/itemProps15.xml><?xml version="1.0" encoding="utf-8"?>
<ds:datastoreItem xmlns:ds="http://schemas.openxmlformats.org/officeDocument/2006/customXml" ds:itemID="{3DD2CED0-BF2B-4B7A-ACB8-8E198A0360AF}">
  <ds:schemaRefs/>
</ds:datastoreItem>
</file>

<file path=customXml/itemProps16.xml><?xml version="1.0" encoding="utf-8"?>
<ds:datastoreItem xmlns:ds="http://schemas.openxmlformats.org/officeDocument/2006/customXml" ds:itemID="{28DB0D7D-4AAF-443F-BD86-789E815C433C}">
  <ds:schemaRefs/>
</ds:datastoreItem>
</file>

<file path=customXml/itemProps17.xml><?xml version="1.0" encoding="utf-8"?>
<ds:datastoreItem xmlns:ds="http://schemas.openxmlformats.org/officeDocument/2006/customXml" ds:itemID="{6C9B4242-11C0-4DB9-B023-9A7C76F64A29}">
  <ds:schemaRefs/>
</ds:datastoreItem>
</file>

<file path=customXml/itemProps18.xml><?xml version="1.0" encoding="utf-8"?>
<ds:datastoreItem xmlns:ds="http://schemas.openxmlformats.org/officeDocument/2006/customXml" ds:itemID="{F5034C4F-F7CC-4131-8777-832C7B214A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Trend</vt:lpstr>
      <vt:lpstr>Avg Daily Trend</vt:lpstr>
      <vt:lpstr>Rating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SRIKAR GUDEM</dc:creator>
  <cp:lastModifiedBy>SRIKAR GUDEM</cp:lastModifiedBy>
  <dcterms:created xsi:type="dcterms:W3CDTF">2025-12-22T12:42:15Z</dcterms:created>
  <dcterms:modified xsi:type="dcterms:W3CDTF">2026-01-06T13:27:13Z</dcterms:modified>
</cp:coreProperties>
</file>